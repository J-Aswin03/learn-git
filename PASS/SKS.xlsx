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9" i="1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</calcChain>
</file>

<file path=xl/sharedStrings.xml><?xml version="1.0" encoding="utf-8"?>
<sst xmlns="http://schemas.openxmlformats.org/spreadsheetml/2006/main" count="80" uniqueCount="49">
  <si>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</si>
  <si>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</si>
  <si>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</si>
  <si>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</si>
  <si>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</si>
  <si>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</si>
  <si>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</si>
  <si>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</si>
  <si>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KKMCR0031</t>
  </si>
  <si>
    <t>Rough STONE</t>
  </si>
  <si>
    <t>SKS</t>
  </si>
  <si>
    <t>KKM000000062341/2025</t>
  </si>
  <si>
    <t>TSPS00390940</t>
  </si>
  <si>
    <t>KKM000000062340/2025</t>
  </si>
  <si>
    <t>TSPS00390939</t>
  </si>
  <si>
    <t>KKM000000062339/2025</t>
  </si>
  <si>
    <t>TSPS00390938</t>
  </si>
  <si>
    <t>KKM000000062338/2025</t>
  </si>
  <si>
    <t>TSPS00390937</t>
  </si>
  <si>
    <t>KKM000000062337/2025</t>
  </si>
  <si>
    <t>TSPS00390936</t>
  </si>
  <si>
    <t>KKM000000062336/2025</t>
  </si>
  <si>
    <t>TSPS00390935</t>
  </si>
  <si>
    <t>KKM000000062335/2025</t>
  </si>
  <si>
    <t>TSPS00390934</t>
  </si>
  <si>
    <t>KKM000000062334/2025</t>
  </si>
  <si>
    <t>TSPS00390933</t>
  </si>
  <si>
    <t>KKM000000062333/2025</t>
  </si>
  <si>
    <t>TSPS00390932</t>
  </si>
  <si>
    <t>KKM000000062332/2025</t>
  </si>
  <si>
    <t>TSPS00390931</t>
  </si>
  <si>
    <t>26/8/25</t>
  </si>
  <si>
    <t>26/8/26</t>
  </si>
  <si>
    <t>26/8/27</t>
  </si>
  <si>
    <t>26/8/28</t>
  </si>
  <si>
    <t>KKM000000053904/2025</t>
  </si>
  <si>
    <t>TSPS00386715</t>
  </si>
  <si>
    <t>KKM000000053902/2025</t>
  </si>
  <si>
    <t>TSPS00386714</t>
  </si>
  <si>
    <t>KKM000000053896/2025</t>
  </si>
  <si>
    <t>TSPS00386713</t>
  </si>
  <si>
    <t>KKM000000053893/2025</t>
  </si>
  <si>
    <t>TSPS00386712</t>
  </si>
  <si>
    <t>KKM000000056316/2025</t>
  </si>
  <si>
    <t>TSPS00386783</t>
  </si>
  <si>
    <t>KKM000000056315/2025</t>
  </si>
  <si>
    <t>TSPS00386782</t>
  </si>
  <si>
    <t>29/8/25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</si>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</sst>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4" xfId="0" applyBorder="1"/>
    <xf numFmtId="14" fontId="0" fillId="0" borderId="4" xfId="0" applyNumberFormat="1" applyBorder="1"/>
    <xf numFmtId="14" fontId="0" fillId="0" borderId="6" xfId="0" applyNumberFormat="1" applyBorder="1"/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/>
    </xf>
    <xf numFmtId="0" fontId="3" fillId="0" borderId="6" xfId="0" applyFont="1" applyBorder="1"/>
    <xf numFmtId="0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NumberFormat="1" applyBorder="1"/>
  </cellXfs>
  <cellStyles count="1">
    <cellStyle name="Normal" xfId="0" builtinId="0"/>
  </cellStyles>
  <dxfs count="11"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H18" totalsRowShown="0" headerRowBorderDxfId="10" tableBorderDxfId="9" totalsRowBorderDxfId="8">
  <autoFilter ref="A2:H18"/>
  <sortState ref="A4:H19">
    <sortCondition ref="C3:C19"/>
  </sortState>
  <tableColumns count="8">
    <tableColumn id="1" name="S.NO" dataDxfId="7"/>
    <tableColumn id="2" name="DATE" dataDxfId="6"/>
    <tableColumn id="3" name="Transit Number" dataDxfId="5"/>
    <tableColumn id="4" name="Stockyard" dataDxfId="4"/>
    <tableColumn id="5" name="SECURITY PAPER NUMBER" dataDxfId="3"/>
    <tableColumn id="6" name="MINERAL" dataDxfId="2"/>
    <tableColumn id="7" name="QUANTITY" dataDxfId="1"/>
    <tableColumn id="8" name="TOTAL MT" dataDxfId="0">
      <calculatedColumnFormula>Table1[[#This Row],[QUANTITY]]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G20" sqref="G20"/>
    </sheetView>
  </sheetViews>
  <sheetFormatPr defaultRowHeight="15"/>
  <cols>
    <col min="1" max="2" width="11.28515625" customWidth="1"/>
    <col min="3" max="3" width="24.7109375" bestFit="1" customWidth="1"/>
    <col min="4" max="4" width="13.28515625" bestFit="1" customWidth="1"/>
    <col min="5" max="5" width="26.85546875" bestFit="1" customWidth="1"/>
    <col min="6" max="6" width="12.85546875" bestFit="1" customWidth="1"/>
    <col min="7" max="9" width="11" bestFit="1" customWidth="1"/>
  </cols>
  <sheetData>
    <row r="1" spans="1:9" ht="18.75">
      <c r="A1" s="15" t="s">
        <v>10</v>
      </c>
      <c r="B1" s="15"/>
      <c r="C1" s="15"/>
      <c r="D1" s="15"/>
      <c r="E1" s="15"/>
      <c r="F1" s="15"/>
      <c r="G1" s="15"/>
      <c r="H1" s="16"/>
      <c r="I1" s="1"/>
    </row>
    <row r="2" spans="1:9" ht="15.75">
      <c r="A2" s="6" t="s">
        <v>0</v>
      </c>
      <c r="B2" s="6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1" t="s">
        <v>6</v>
      </c>
      <c r="H2" s="11" t="s">
        <v>7</v>
      </c>
    </row>
    <row r="3" spans="1:9">
      <c r="A3" s="12">
        <v>1</v>
      </c>
      <c r="B3" s="2" t="s">
        <v>34</v>
      </c>
      <c r="C3" s="2" t="s">
        <v>41</v>
      </c>
      <c r="D3" s="2" t="s">
        <v>8</v>
      </c>
      <c r="E3" s="2" t="s">
        <v>42</v>
      </c>
      <c r="F3" s="2" t="s">
        <v>9</v>
      </c>
      <c r="G3" s="2">
        <v>25</v>
      </c>
      <c r="H3" s="14">
        <f>Table1[[#This Row],[QUANTITY]]</f>
        <v>25</v>
      </c>
    </row>
    <row r="4" spans="1:9">
      <c r="A4" s="12">
        <v>2</v>
      </c>
      <c r="B4" s="2" t="s">
        <v>33</v>
      </c>
      <c r="C4" s="2" t="s">
        <v>39</v>
      </c>
      <c r="D4" s="2" t="s">
        <v>8</v>
      </c>
      <c r="E4" s="2" t="s">
        <v>40</v>
      </c>
      <c r="F4" s="2" t="s">
        <v>9</v>
      </c>
      <c r="G4" s="2">
        <v>25</v>
      </c>
      <c r="H4" s="14">
        <f>Table1[[#This Row],[QUANTITY]]+H3</f>
        <v>50</v>
      </c>
    </row>
    <row r="5" spans="1:9">
      <c r="A5" s="12">
        <v>3</v>
      </c>
      <c r="B5" s="2" t="s">
        <v>32</v>
      </c>
      <c r="C5" s="2" t="s">
        <v>37</v>
      </c>
      <c r="D5" s="2" t="s">
        <v>8</v>
      </c>
      <c r="E5" s="2" t="s">
        <v>38</v>
      </c>
      <c r="F5" s="2" t="s">
        <v>9</v>
      </c>
      <c r="G5" s="2">
        <v>25</v>
      </c>
      <c r="H5" s="14">
        <f>Table1[[#This Row],[QUANTITY]]+H4</f>
        <v>75</v>
      </c>
    </row>
    <row r="6" spans="1:9">
      <c r="A6" s="12">
        <v>4</v>
      </c>
      <c r="B6" s="2" t="s">
        <v>31</v>
      </c>
      <c r="C6" s="2" t="s">
        <v>35</v>
      </c>
      <c r="D6" s="2" t="s">
        <v>8</v>
      </c>
      <c r="E6" s="2" t="s">
        <v>36</v>
      </c>
      <c r="F6" s="2" t="s">
        <v>9</v>
      </c>
      <c r="G6" s="2">
        <v>32</v>
      </c>
      <c r="H6" s="14">
        <f>Table1[[#This Row],[QUANTITY]]+H5</f>
        <v>107</v>
      </c>
    </row>
    <row r="7" spans="1:9">
      <c r="A7" s="12">
        <v>5</v>
      </c>
      <c r="B7" s="2" t="s">
        <v>47</v>
      </c>
      <c r="C7" s="2" t="s">
        <v>45</v>
      </c>
      <c r="D7" s="2" t="s">
        <v>8</v>
      </c>
      <c r="E7" s="2" t="s">
        <v>46</v>
      </c>
      <c r="F7" s="2" t="s">
        <v>9</v>
      </c>
      <c r="G7" s="2">
        <v>32</v>
      </c>
      <c r="H7" s="14">
        <f>Table1[[#This Row],[QUANTITY]]+H6</f>
        <v>139</v>
      </c>
    </row>
    <row r="8" spans="1:9">
      <c r="A8" s="12">
        <v>6</v>
      </c>
      <c r="B8" s="2" t="s">
        <v>47</v>
      </c>
      <c r="C8" s="2" t="s">
        <v>43</v>
      </c>
      <c r="D8" s="2" t="s">
        <v>8</v>
      </c>
      <c r="E8" s="2" t="s">
        <v>44</v>
      </c>
      <c r="F8" s="2" t="s">
        <v>9</v>
      </c>
      <c r="G8" s="2">
        <v>32</v>
      </c>
      <c r="H8" s="14">
        <f>Table1[[#This Row],[QUANTITY]]+H7</f>
        <v>171</v>
      </c>
    </row>
    <row r="9" spans="1:9">
      <c r="A9" s="12">
        <v>7</v>
      </c>
      <c r="B9" s="3">
        <v>45756</v>
      </c>
      <c r="C9" s="2" t="s">
        <v>29</v>
      </c>
      <c r="D9" s="2" t="s">
        <v>8</v>
      </c>
      <c r="E9" s="2" t="s">
        <v>30</v>
      </c>
      <c r="F9" s="2" t="s">
        <v>9</v>
      </c>
      <c r="G9" s="2">
        <v>32</v>
      </c>
      <c r="H9" s="14">
        <f>Table1[[#This Row],[QUANTITY]]+H8</f>
        <v>203</v>
      </c>
    </row>
    <row r="10" spans="1:9">
      <c r="A10" s="12">
        <v>8</v>
      </c>
      <c r="B10" s="3">
        <v>45756</v>
      </c>
      <c r="C10" s="2" t="s">
        <v>27</v>
      </c>
      <c r="D10" s="2" t="s">
        <v>8</v>
      </c>
      <c r="E10" s="2" t="s">
        <v>28</v>
      </c>
      <c r="F10" s="2" t="s">
        <v>9</v>
      </c>
      <c r="G10" s="2">
        <v>32</v>
      </c>
      <c r="H10" s="14">
        <f>Table1[[#This Row],[QUANTITY]]+H9</f>
        <v>235</v>
      </c>
    </row>
    <row r="11" spans="1:9">
      <c r="A11" s="12">
        <v>9</v>
      </c>
      <c r="B11" s="3">
        <v>45756</v>
      </c>
      <c r="C11" s="2" t="s">
        <v>25</v>
      </c>
      <c r="D11" s="2" t="s">
        <v>8</v>
      </c>
      <c r="E11" s="2" t="s">
        <v>26</v>
      </c>
      <c r="F11" s="2" t="s">
        <v>9</v>
      </c>
      <c r="G11" s="2">
        <v>32</v>
      </c>
      <c r="H11" s="14">
        <f>Table1[[#This Row],[QUANTITY]]+H10</f>
        <v>267</v>
      </c>
    </row>
    <row r="12" spans="1:9">
      <c r="A12" s="12">
        <v>10</v>
      </c>
      <c r="B12" s="3">
        <v>45756</v>
      </c>
      <c r="C12" s="2" t="s">
        <v>23</v>
      </c>
      <c r="D12" s="2" t="s">
        <v>8</v>
      </c>
      <c r="E12" s="2" t="s">
        <v>24</v>
      </c>
      <c r="F12" s="2" t="s">
        <v>9</v>
      </c>
      <c r="G12" s="2">
        <v>32</v>
      </c>
      <c r="H12" s="14">
        <f>Table1[[#This Row],[QUANTITY]]+H11</f>
        <v>299</v>
      </c>
    </row>
    <row r="13" spans="1:9">
      <c r="A13" s="12">
        <v>11</v>
      </c>
      <c r="B13" s="3">
        <v>45756</v>
      </c>
      <c r="C13" s="2" t="s">
        <v>21</v>
      </c>
      <c r="D13" s="2" t="s">
        <v>8</v>
      </c>
      <c r="E13" s="2" t="s">
        <v>22</v>
      </c>
      <c r="F13" s="2" t="s">
        <v>9</v>
      </c>
      <c r="G13" s="2">
        <v>25</v>
      </c>
      <c r="H13" s="14">
        <f>Table1[[#This Row],[QUANTITY]]+H12</f>
        <v>324</v>
      </c>
    </row>
    <row r="14" spans="1:9">
      <c r="A14" s="12">
        <v>12</v>
      </c>
      <c r="B14" s="3">
        <v>45756</v>
      </c>
      <c r="C14" s="2" t="s">
        <v>19</v>
      </c>
      <c r="D14" s="2" t="s">
        <v>8</v>
      </c>
      <c r="E14" s="2" t="s">
        <v>20</v>
      </c>
      <c r="F14" s="2" t="s">
        <v>9</v>
      </c>
      <c r="G14" s="2">
        <v>25</v>
      </c>
      <c r="H14" s="14">
        <f>Table1[[#This Row],[QUANTITY]]+H13</f>
        <v>349</v>
      </c>
    </row>
    <row r="15" spans="1:9">
      <c r="A15" s="12">
        <v>13</v>
      </c>
      <c r="B15" s="3">
        <v>45756</v>
      </c>
      <c r="C15" s="2" t="s">
        <v>17</v>
      </c>
      <c r="D15" s="2" t="s">
        <v>8</v>
      </c>
      <c r="E15" s="2" t="s">
        <v>18</v>
      </c>
      <c r="F15" s="2" t="s">
        <v>9</v>
      </c>
      <c r="G15" s="2">
        <v>25</v>
      </c>
      <c r="H15" s="14">
        <f>Table1[[#This Row],[QUANTITY]]+H14</f>
        <v>374</v>
      </c>
    </row>
    <row r="16" spans="1:9">
      <c r="A16" s="12">
        <v>14</v>
      </c>
      <c r="B16" s="3">
        <v>45756</v>
      </c>
      <c r="C16" s="2" t="s">
        <v>15</v>
      </c>
      <c r="D16" s="2" t="s">
        <v>8</v>
      </c>
      <c r="E16" s="2" t="s">
        <v>16</v>
      </c>
      <c r="F16" s="2" t="s">
        <v>9</v>
      </c>
      <c r="G16" s="2">
        <v>25</v>
      </c>
      <c r="H16" s="14">
        <f>Table1[[#This Row],[QUANTITY]]+H15</f>
        <v>399</v>
      </c>
    </row>
    <row r="17" spans="1:8">
      <c r="A17" s="12">
        <v>15</v>
      </c>
      <c r="B17" s="3">
        <v>45756</v>
      </c>
      <c r="C17" s="2" t="s">
        <v>13</v>
      </c>
      <c r="D17" s="2" t="s">
        <v>8</v>
      </c>
      <c r="E17" s="2" t="s">
        <v>14</v>
      </c>
      <c r="F17" s="2" t="s">
        <v>9</v>
      </c>
      <c r="G17" s="2">
        <v>32</v>
      </c>
      <c r="H17" s="14">
        <f>Table1[[#This Row],[QUANTITY]]+H16</f>
        <v>431</v>
      </c>
    </row>
    <row r="18" spans="1:8">
      <c r="A18" s="13">
        <v>16</v>
      </c>
      <c r="B18" s="4">
        <v>45756</v>
      </c>
      <c r="C18" s="5" t="s">
        <v>11</v>
      </c>
      <c r="D18" s="5" t="s">
        <v>8</v>
      </c>
      <c r="E18" s="5" t="s">
        <v>12</v>
      </c>
      <c r="F18" s="5" t="s">
        <v>9</v>
      </c>
      <c r="G18" s="5">
        <v>32</v>
      </c>
      <c r="H18" s="22">
        <f>Table1[[#This Row],[QUANTITY]]+H17</f>
        <v>463</v>
      </c>
    </row>
    <row r="19" spans="1:8">
      <c r="A19" s="19" t="s">
        <v>48</v>
      </c>
      <c r="B19" s="20"/>
      <c r="C19" s="20"/>
      <c r="D19" s="20"/>
      <c r="E19" s="20"/>
      <c r="F19" s="21"/>
      <c r="G19" s="17">
        <f>150*H18</f>
        <v>69450</v>
      </c>
      <c r="H19" s="18"/>
    </row>
  </sheetData>
  <mergeCells count="3">
    <mergeCell ref="A1:H1"/>
    <mergeCell ref="A19:F19"/>
    <mergeCell ref="G19:H19"/>
  </mergeCells>
  <pageMargins left="0.7" right="0.7" top="0.75" bottom="0.75" header="0.3" footer="0.3"/>
  <pageSetup orientation="portrait" verticalDpi="0" r:id="rId1"/>
  <ignoredErrors>
    <ignoredError sqref="H4:H18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2025-11-03T05:46:13Z</cp:lastPrinted>
  <dcterms:created xsi:type="dcterms:W3CDTF">2025-11-03T05:07:47Z</dcterms:created>
  <dcterms:modified xsi:type="dcterms:W3CDTF">2025-11-12T10:10:01Z</dcterms:modified>
</cp:coreProperties>
</file>