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60" windowWidth="150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3" i="1"/>
  <c r="H20"/>
  <c r="H21" s="1"/>
  <c r="H19"/>
  <c r="H18"/>
  <c r="H4"/>
  <c r="H5" s="1"/>
  <c r="H6" s="1"/>
  <c r="H7" s="1"/>
  <c r="H8" s="1"/>
  <c r="H9" s="1"/>
  <c r="H10" s="1"/>
  <c r="H11" s="1"/>
  <c r="H22" l="1"/>
  <c r="H23" s="1"/>
  <c r="H24" s="1"/>
  <c r="H25" s="1"/>
  <c r="H26" s="1"/>
  <c r="H27" s="1"/>
  <c r="H28" s="1"/>
  <c r="H29" s="1"/>
  <c r="H30" s="1"/>
  <c r="H31" s="1"/>
  <c r="H32" s="1"/>
  <c r="H14"/>
</calcChain>
</file>

<file path=xl/sharedStrings.xml><?xml version="1.0" encoding="utf-8"?>
<sst xmlns="http://schemas.openxmlformats.org/spreadsheetml/2006/main" count="141" uniqueCount="76">
  <si>
    <t>TNVN0054</t>
  </si>
  <si>
    <t>TNV250003126</t>
  </si>
  <si>
    <t>DISP000002877566</t>
  </si>
  <si>
    <t>TN03509542</t>
  </si>
  <si>
    <t>20-08-2025</t>
  </si>
  <si>
    <t>TNV250003696</t>
  </si>
  <si>
    <t>DISP000003506769</t>
  </si>
  <si>
    <t>TN04035150</t>
  </si>
  <si>
    <t>17-09-2025</t>
  </si>
  <si>
    <t>DISP000003510793</t>
  </si>
  <si>
    <t>TN04035152</t>
  </si>
  <si>
    <t>TNV250003238</t>
  </si>
  <si>
    <t>DISP000002965897</t>
  </si>
  <si>
    <t>TN03509670</t>
  </si>
  <si>
    <t>23-08-2025</t>
  </si>
  <si>
    <t>DISP000002891175</t>
  </si>
  <si>
    <t>TN03509564</t>
  </si>
  <si>
    <t>DISP000002890979</t>
  </si>
  <si>
    <t>TN03509563</t>
  </si>
  <si>
    <t>DISP000002891526</t>
  </si>
  <si>
    <t>TN03509565</t>
  </si>
  <si>
    <t>DISP000002877630</t>
  </si>
  <si>
    <t>TN03509544</t>
  </si>
  <si>
    <t>TNV250002818</t>
  </si>
  <si>
    <t>DISP000002515518</t>
  </si>
  <si>
    <t>TN02996473</t>
  </si>
  <si>
    <t>S.NO</t>
  </si>
  <si>
    <t>MINE CODE</t>
  </si>
  <si>
    <t>PERMIT NUMBER</t>
  </si>
  <si>
    <t>DISPATCH NUMBER</t>
  </si>
  <si>
    <t>SECURITY PAPER NUMBER</t>
  </si>
  <si>
    <t>DISPATCHED QUANTITY</t>
  </si>
  <si>
    <t>CREATED ON</t>
  </si>
  <si>
    <t>TOTAL QUANTITY</t>
  </si>
  <si>
    <t>TAMIL NADU</t>
  </si>
  <si>
    <t>TNV250003775</t>
  </si>
  <si>
    <t>DISP000003514627</t>
  </si>
  <si>
    <t>TN04035158</t>
  </si>
  <si>
    <t>DISP000003514882</t>
  </si>
  <si>
    <t>TN04035161</t>
  </si>
  <si>
    <t>TNV250003930</t>
  </si>
  <si>
    <t>DISP000003704442</t>
  </si>
  <si>
    <t>TN04035367</t>
  </si>
  <si>
    <t>26-09-2025</t>
  </si>
  <si>
    <t>DISP000003711689</t>
  </si>
  <si>
    <t>TN04035372</t>
  </si>
  <si>
    <t>TNV250003977</t>
  </si>
  <si>
    <t>DISP000003728455</t>
  </si>
  <si>
    <t>TN04035385</t>
  </si>
  <si>
    <t>DISP000003737586</t>
  </si>
  <si>
    <t>TN04035398</t>
  </si>
  <si>
    <t>27-09-2025</t>
  </si>
  <si>
    <t>DISP000003753204</t>
  </si>
  <si>
    <t>TN04035406</t>
  </si>
  <si>
    <t>DISP000003754661</t>
  </si>
  <si>
    <t>TN04035421</t>
  </si>
  <si>
    <t>28-09-2025</t>
  </si>
  <si>
    <t>DISP000003755723</t>
  </si>
  <si>
    <t>TN04035430</t>
  </si>
  <si>
    <t>TNV250004142</t>
  </si>
  <si>
    <t>DISP000003921468</t>
  </si>
  <si>
    <t>TN04438729</t>
  </si>
  <si>
    <t>DISP000003928600</t>
  </si>
  <si>
    <t>TN04438743</t>
  </si>
  <si>
    <t>DISP000003929037</t>
  </si>
  <si>
    <t>TN04438744</t>
  </si>
  <si>
    <t>TNV250004289</t>
  </si>
  <si>
    <t>DISP000004042145</t>
  </si>
  <si>
    <t>TN04438954</t>
  </si>
  <si>
    <t>DISP000004042402</t>
  </si>
  <si>
    <t>TN04438955</t>
  </si>
  <si>
    <t>TNV250004391</t>
  </si>
  <si>
    <t>DISP000004143161</t>
  </si>
  <si>
    <t>TN05009661</t>
  </si>
  <si>
    <t>17-10-2025</t>
  </si>
  <si>
    <t>OTHER STATE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</si>
</sst>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vertical="center"/>
    </xf>
    <xf numFmtId="14" fontId="0" fillId="0" borderId="1" xfId="0" applyNumberFormat="1" applyBorder="1"/>
    <xf numFmtId="0" fontId="0" fillId="0" borderId="1" xfId="0" applyFill="1" applyBorder="1"/>
    <xf numFmtId="0" fontId="3" fillId="0" borderId="1" xfId="0" applyFont="1" applyBorder="1" applyAlignment="1">
      <alignment horizontal="center" vertical="center" wrapText="1"/>
    </xf>
    <xf numFmtId="0" fontId="0" fillId="0" borderId="0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topLeftCell="A13" workbookViewId="0">
      <selection activeCell="J4" sqref="J4"/>
    </sheetView>
  </sheetViews>
  <sheetFormatPr defaultRowHeight="15"/>
  <cols>
    <col min="2" max="2" width="10.140625" bestFit="1" customWidth="1"/>
    <col min="3" max="3" width="13.85546875" bestFit="1" customWidth="1"/>
    <col min="4" max="4" width="17.5703125" bestFit="1" customWidth="1"/>
    <col min="5" max="5" width="17.42578125" customWidth="1"/>
    <col min="6" max="6" width="14" customWidth="1"/>
    <col min="7" max="7" width="10.42578125" bestFit="1" customWidth="1"/>
    <col min="8" max="8" width="11.140625" customWidth="1"/>
  </cols>
  <sheetData>
    <row r="1" spans="1:8">
      <c r="A1" s="7" t="s">
        <v>34</v>
      </c>
      <c r="B1" s="7"/>
      <c r="C1" s="7"/>
      <c r="D1" s="7"/>
      <c r="E1" s="7"/>
      <c r="F1" s="7"/>
      <c r="G1" s="7"/>
      <c r="H1" s="7"/>
    </row>
    <row r="2" spans="1:8" ht="33" customHeight="1">
      <c r="A2" s="5" t="s">
        <v>26</v>
      </c>
      <c r="B2" s="5" t="s">
        <v>27</v>
      </c>
      <c r="C2" s="5" t="s">
        <v>28</v>
      </c>
      <c r="D2" s="5" t="s">
        <v>29</v>
      </c>
      <c r="E2" s="5" t="s">
        <v>30</v>
      </c>
      <c r="F2" s="5" t="s">
        <v>31</v>
      </c>
      <c r="G2" s="5" t="s">
        <v>32</v>
      </c>
      <c r="H2" s="5" t="s">
        <v>33</v>
      </c>
    </row>
    <row r="3" spans="1:8">
      <c r="A3" s="1">
        <v>1</v>
      </c>
      <c r="B3" s="1" t="s">
        <v>0</v>
      </c>
      <c r="C3" s="1" t="s">
        <v>23</v>
      </c>
      <c r="D3" s="1" t="s">
        <v>24</v>
      </c>
      <c r="E3" s="1" t="s">
        <v>25</v>
      </c>
      <c r="F3" s="1">
        <v>32</v>
      </c>
      <c r="G3" s="3">
        <v>45665</v>
      </c>
      <c r="H3" s="4">
        <f>F3</f>
        <v>32</v>
      </c>
    </row>
    <row r="4" spans="1:8">
      <c r="A4" s="1">
        <v>2</v>
      </c>
      <c r="B4" s="1" t="s">
        <v>0</v>
      </c>
      <c r="C4" s="1" t="s">
        <v>1</v>
      </c>
      <c r="D4" s="2" t="s">
        <v>2</v>
      </c>
      <c r="E4" s="1" t="s">
        <v>3</v>
      </c>
      <c r="F4" s="1">
        <v>32</v>
      </c>
      <c r="G4" s="1" t="s">
        <v>4</v>
      </c>
      <c r="H4" s="1">
        <f>H3+F4</f>
        <v>64</v>
      </c>
    </row>
    <row r="5" spans="1:8">
      <c r="A5" s="1">
        <v>3</v>
      </c>
      <c r="B5" s="1" t="s">
        <v>0</v>
      </c>
      <c r="C5" s="1" t="s">
        <v>1</v>
      </c>
      <c r="D5" s="1" t="s">
        <v>21</v>
      </c>
      <c r="E5" s="1" t="s">
        <v>22</v>
      </c>
      <c r="F5" s="1">
        <v>32</v>
      </c>
      <c r="G5" s="1" t="s">
        <v>4</v>
      </c>
      <c r="H5" s="1">
        <f t="shared" ref="H5:H11" si="0">H4+F5</f>
        <v>96</v>
      </c>
    </row>
    <row r="6" spans="1:8">
      <c r="A6" s="1">
        <v>4</v>
      </c>
      <c r="B6" s="1" t="s">
        <v>0</v>
      </c>
      <c r="C6" s="1" t="s">
        <v>1</v>
      </c>
      <c r="D6" s="1" t="s">
        <v>17</v>
      </c>
      <c r="E6" s="1" t="s">
        <v>18</v>
      </c>
      <c r="F6" s="1">
        <v>32</v>
      </c>
      <c r="G6" s="1" t="s">
        <v>4</v>
      </c>
      <c r="H6" s="1">
        <f t="shared" si="0"/>
        <v>128</v>
      </c>
    </row>
    <row r="7" spans="1:8">
      <c r="A7" s="1">
        <v>5</v>
      </c>
      <c r="B7" s="1" t="s">
        <v>0</v>
      </c>
      <c r="C7" s="1" t="s">
        <v>1</v>
      </c>
      <c r="D7" s="1" t="s">
        <v>15</v>
      </c>
      <c r="E7" s="1" t="s">
        <v>16</v>
      </c>
      <c r="F7" s="1">
        <v>32</v>
      </c>
      <c r="G7" s="1" t="s">
        <v>4</v>
      </c>
      <c r="H7" s="1">
        <f t="shared" si="0"/>
        <v>160</v>
      </c>
    </row>
    <row r="8" spans="1:8">
      <c r="A8" s="1">
        <v>6</v>
      </c>
      <c r="B8" s="1" t="s">
        <v>0</v>
      </c>
      <c r="C8" s="1" t="s">
        <v>1</v>
      </c>
      <c r="D8" s="1" t="s">
        <v>19</v>
      </c>
      <c r="E8" s="1" t="s">
        <v>20</v>
      </c>
      <c r="F8" s="1">
        <v>32</v>
      </c>
      <c r="G8" s="1" t="s">
        <v>4</v>
      </c>
      <c r="H8" s="1">
        <f t="shared" si="0"/>
        <v>192</v>
      </c>
    </row>
    <row r="9" spans="1:8">
      <c r="A9" s="1">
        <v>7</v>
      </c>
      <c r="B9" s="1" t="s">
        <v>0</v>
      </c>
      <c r="C9" s="1" t="s">
        <v>11</v>
      </c>
      <c r="D9" s="1" t="s">
        <v>12</v>
      </c>
      <c r="E9" s="1" t="s">
        <v>13</v>
      </c>
      <c r="F9" s="1">
        <v>25</v>
      </c>
      <c r="G9" s="1" t="s">
        <v>14</v>
      </c>
      <c r="H9" s="1">
        <f t="shared" si="0"/>
        <v>217</v>
      </c>
    </row>
    <row r="10" spans="1:8">
      <c r="A10" s="1">
        <v>8</v>
      </c>
      <c r="B10" s="1" t="s">
        <v>0</v>
      </c>
      <c r="C10" s="1" t="s">
        <v>5</v>
      </c>
      <c r="D10" s="1" t="s">
        <v>6</v>
      </c>
      <c r="E10" s="1" t="s">
        <v>7</v>
      </c>
      <c r="F10" s="1">
        <v>32</v>
      </c>
      <c r="G10" s="1" t="s">
        <v>8</v>
      </c>
      <c r="H10" s="1">
        <f t="shared" si="0"/>
        <v>249</v>
      </c>
    </row>
    <row r="11" spans="1:8">
      <c r="A11" s="1">
        <v>9</v>
      </c>
      <c r="B11" s="1" t="s">
        <v>0</v>
      </c>
      <c r="C11" s="1" t="s">
        <v>5</v>
      </c>
      <c r="D11" s="1" t="s">
        <v>9</v>
      </c>
      <c r="E11" s="1" t="s">
        <v>10</v>
      </c>
      <c r="F11" s="1">
        <v>32</v>
      </c>
      <c r="G11" s="1" t="s">
        <v>8</v>
      </c>
      <c r="H11" s="1">
        <f t="shared" si="0"/>
        <v>281</v>
      </c>
    </row>
    <row r="13" spans="1:8">
      <c r="A13" s="6"/>
      <c r="B13" s="6"/>
      <c r="C13" s="6"/>
      <c r="D13" s="6"/>
      <c r="E13" s="6"/>
      <c r="F13" s="6"/>
      <c r="G13" s="6"/>
      <c r="H13" s="6"/>
    </row>
    <row r="14" spans="1:8">
      <c r="A14" s="6"/>
      <c r="B14" s="6"/>
      <c r="C14" s="6"/>
      <c r="D14" s="6"/>
      <c r="E14" s="6"/>
      <c r="F14" s="6"/>
      <c r="G14" s="6"/>
      <c r="H14" s="6">
        <f>H12+H33</f>
        <v>0</v>
      </c>
    </row>
    <row r="15" spans="1:8">
      <c r="A15" s="6"/>
      <c r="B15" s="6"/>
      <c r="C15" s="6"/>
      <c r="D15" s="6"/>
      <c r="E15" s="6"/>
      <c r="F15" s="6"/>
      <c r="G15" s="6"/>
      <c r="H15" s="6"/>
    </row>
    <row r="16" spans="1:8">
      <c r="A16" s="7" t="s">
        <v>75</v>
      </c>
      <c r="B16" s="7"/>
      <c r="C16" s="7"/>
      <c r="D16" s="7"/>
      <c r="E16" s="7"/>
      <c r="F16" s="7"/>
      <c r="G16" s="7"/>
      <c r="H16" s="7"/>
    </row>
    <row r="17" spans="1:8" ht="31.5">
      <c r="A17" s="5" t="s">
        <v>26</v>
      </c>
      <c r="B17" s="5" t="s">
        <v>27</v>
      </c>
      <c r="C17" s="5" t="s">
        <v>28</v>
      </c>
      <c r="D17" s="5" t="s">
        <v>29</v>
      </c>
      <c r="E17" s="5" t="s">
        <v>30</v>
      </c>
      <c r="F17" s="5" t="s">
        <v>31</v>
      </c>
      <c r="G17" s="5" t="s">
        <v>32</v>
      </c>
      <c r="H17" s="5" t="s">
        <v>33</v>
      </c>
    </row>
    <row r="18" spans="1:8">
      <c r="A18" s="1">
        <v>1</v>
      </c>
      <c r="B18" s="1" t="s">
        <v>0</v>
      </c>
      <c r="C18" s="1" t="s">
        <v>35</v>
      </c>
      <c r="D18" s="1" t="s">
        <v>36</v>
      </c>
      <c r="E18" s="1" t="s">
        <v>37</v>
      </c>
      <c r="F18" s="1">
        <v>32</v>
      </c>
      <c r="G18" s="1" t="s">
        <v>8</v>
      </c>
      <c r="H18" s="1">
        <f>F18</f>
        <v>32</v>
      </c>
    </row>
    <row r="19" spans="1:8">
      <c r="A19" s="1">
        <v>2</v>
      </c>
      <c r="B19" s="1" t="s">
        <v>0</v>
      </c>
      <c r="C19" s="1" t="s">
        <v>35</v>
      </c>
      <c r="D19" s="1" t="s">
        <v>38</v>
      </c>
      <c r="E19" s="1" t="s">
        <v>39</v>
      </c>
      <c r="F19" s="1">
        <v>32</v>
      </c>
      <c r="G19" s="1" t="s">
        <v>8</v>
      </c>
      <c r="H19" s="1">
        <f t="shared" ref="H19:H32" si="1">F19+H18</f>
        <v>64</v>
      </c>
    </row>
    <row r="20" spans="1:8">
      <c r="A20" s="1">
        <v>3</v>
      </c>
      <c r="B20" s="1" t="s">
        <v>0</v>
      </c>
      <c r="C20" s="1" t="s">
        <v>40</v>
      </c>
      <c r="D20" s="1" t="s">
        <v>41</v>
      </c>
      <c r="E20" s="1" t="s">
        <v>42</v>
      </c>
      <c r="F20" s="1">
        <v>32</v>
      </c>
      <c r="G20" s="1" t="s">
        <v>43</v>
      </c>
      <c r="H20" s="1">
        <f t="shared" si="1"/>
        <v>96</v>
      </c>
    </row>
    <row r="21" spans="1:8">
      <c r="A21" s="1">
        <v>4</v>
      </c>
      <c r="B21" s="1" t="s">
        <v>0</v>
      </c>
      <c r="C21" s="1" t="s">
        <v>40</v>
      </c>
      <c r="D21" s="1" t="s">
        <v>44</v>
      </c>
      <c r="E21" s="1" t="s">
        <v>45</v>
      </c>
      <c r="F21" s="1">
        <v>32</v>
      </c>
      <c r="G21" s="1" t="s">
        <v>43</v>
      </c>
      <c r="H21" s="1">
        <f t="shared" si="1"/>
        <v>128</v>
      </c>
    </row>
    <row r="22" spans="1:8">
      <c r="A22" s="1">
        <v>5</v>
      </c>
      <c r="B22" s="1" t="s">
        <v>0</v>
      </c>
      <c r="C22" s="1" t="s">
        <v>46</v>
      </c>
      <c r="D22" s="1" t="s">
        <v>47</v>
      </c>
      <c r="E22" s="1" t="s">
        <v>48</v>
      </c>
      <c r="F22" s="1">
        <v>32</v>
      </c>
      <c r="G22" s="1" t="s">
        <v>43</v>
      </c>
      <c r="H22" s="1">
        <f t="shared" si="1"/>
        <v>160</v>
      </c>
    </row>
    <row r="23" spans="1:8">
      <c r="A23" s="1">
        <v>6</v>
      </c>
      <c r="B23" s="1" t="s">
        <v>0</v>
      </c>
      <c r="C23" s="1" t="s">
        <v>46</v>
      </c>
      <c r="D23" s="1" t="s">
        <v>49</v>
      </c>
      <c r="E23" s="1" t="s">
        <v>50</v>
      </c>
      <c r="F23" s="1">
        <v>32</v>
      </c>
      <c r="G23" s="1" t="s">
        <v>51</v>
      </c>
      <c r="H23" s="1">
        <f t="shared" si="1"/>
        <v>192</v>
      </c>
    </row>
    <row r="24" spans="1:8">
      <c r="A24" s="1">
        <v>7</v>
      </c>
      <c r="B24" s="1" t="s">
        <v>0</v>
      </c>
      <c r="C24" s="1" t="s">
        <v>46</v>
      </c>
      <c r="D24" s="1" t="s">
        <v>52</v>
      </c>
      <c r="E24" s="1" t="s">
        <v>53</v>
      </c>
      <c r="F24" s="1">
        <v>32</v>
      </c>
      <c r="G24" s="1" t="s">
        <v>51</v>
      </c>
      <c r="H24" s="1">
        <f t="shared" si="1"/>
        <v>224</v>
      </c>
    </row>
    <row r="25" spans="1:8">
      <c r="A25" s="1">
        <v>8</v>
      </c>
      <c r="B25" s="1" t="s">
        <v>0</v>
      </c>
      <c r="C25" s="1" t="s">
        <v>46</v>
      </c>
      <c r="D25" s="1" t="s">
        <v>54</v>
      </c>
      <c r="E25" s="1" t="s">
        <v>55</v>
      </c>
      <c r="F25" s="1">
        <v>32</v>
      </c>
      <c r="G25" s="1" t="s">
        <v>56</v>
      </c>
      <c r="H25" s="1">
        <f t="shared" si="1"/>
        <v>256</v>
      </c>
    </row>
    <row r="26" spans="1:8">
      <c r="A26" s="1">
        <v>9</v>
      </c>
      <c r="B26" s="1" t="s">
        <v>0</v>
      </c>
      <c r="C26" s="1" t="s">
        <v>46</v>
      </c>
      <c r="D26" s="1" t="s">
        <v>57</v>
      </c>
      <c r="E26" s="1" t="s">
        <v>58</v>
      </c>
      <c r="F26" s="1">
        <v>32</v>
      </c>
      <c r="G26" s="1" t="s">
        <v>56</v>
      </c>
      <c r="H26" s="1">
        <f t="shared" si="1"/>
        <v>288</v>
      </c>
    </row>
    <row r="27" spans="1:8">
      <c r="A27" s="1">
        <v>10</v>
      </c>
      <c r="B27" s="1" t="s">
        <v>0</v>
      </c>
      <c r="C27" s="1" t="s">
        <v>59</v>
      </c>
      <c r="D27" s="1" t="s">
        <v>60</v>
      </c>
      <c r="E27" s="1" t="s">
        <v>61</v>
      </c>
      <c r="F27" s="1">
        <v>32</v>
      </c>
      <c r="G27" s="3">
        <v>45848</v>
      </c>
      <c r="H27" s="1">
        <f t="shared" si="1"/>
        <v>320</v>
      </c>
    </row>
    <row r="28" spans="1:8">
      <c r="A28" s="1">
        <v>11</v>
      </c>
      <c r="B28" s="1" t="s">
        <v>0</v>
      </c>
      <c r="C28" s="1" t="s">
        <v>59</v>
      </c>
      <c r="D28" s="1" t="s">
        <v>62</v>
      </c>
      <c r="E28" s="1" t="s">
        <v>63</v>
      </c>
      <c r="F28" s="1">
        <v>32</v>
      </c>
      <c r="G28" s="3">
        <v>45848</v>
      </c>
      <c r="H28" s="1">
        <f t="shared" si="1"/>
        <v>352</v>
      </c>
    </row>
    <row r="29" spans="1:8">
      <c r="A29" s="1">
        <v>12</v>
      </c>
      <c r="B29" s="1" t="s">
        <v>0</v>
      </c>
      <c r="C29" s="1" t="s">
        <v>59</v>
      </c>
      <c r="D29" s="1" t="s">
        <v>64</v>
      </c>
      <c r="E29" s="1" t="s">
        <v>65</v>
      </c>
      <c r="F29" s="1">
        <v>32</v>
      </c>
      <c r="G29" s="3">
        <v>45848</v>
      </c>
      <c r="H29" s="1">
        <f t="shared" si="1"/>
        <v>384</v>
      </c>
    </row>
    <row r="30" spans="1:8">
      <c r="A30" s="1">
        <v>13</v>
      </c>
      <c r="B30" s="1" t="s">
        <v>0</v>
      </c>
      <c r="C30" s="1" t="s">
        <v>66</v>
      </c>
      <c r="D30" s="1" t="s">
        <v>67</v>
      </c>
      <c r="E30" s="1" t="s">
        <v>68</v>
      </c>
      <c r="F30" s="1">
        <v>32</v>
      </c>
      <c r="G30" s="3">
        <v>46001</v>
      </c>
      <c r="H30" s="1">
        <f t="shared" si="1"/>
        <v>416</v>
      </c>
    </row>
    <row r="31" spans="1:8">
      <c r="A31" s="1">
        <v>14</v>
      </c>
      <c r="B31" s="1" t="s">
        <v>0</v>
      </c>
      <c r="C31" s="1" t="s">
        <v>66</v>
      </c>
      <c r="D31" s="1" t="s">
        <v>69</v>
      </c>
      <c r="E31" s="1" t="s">
        <v>70</v>
      </c>
      <c r="F31" s="1">
        <v>32</v>
      </c>
      <c r="G31" s="3">
        <v>46001</v>
      </c>
      <c r="H31" s="1">
        <f t="shared" si="1"/>
        <v>448</v>
      </c>
    </row>
    <row r="32" spans="1:8">
      <c r="A32" s="1">
        <v>15</v>
      </c>
      <c r="B32" s="1" t="s">
        <v>0</v>
      </c>
      <c r="C32" s="1" t="s">
        <v>71</v>
      </c>
      <c r="D32" s="1" t="s">
        <v>72</v>
      </c>
      <c r="E32" s="1" t="s">
        <v>73</v>
      </c>
      <c r="F32" s="1">
        <v>32</v>
      </c>
      <c r="G32" s="1" t="s">
        <v>74</v>
      </c>
      <c r="H32" s="1">
        <f t="shared" si="1"/>
        <v>480</v>
      </c>
    </row>
    <row r="48" spans="4:11">
      <c r="D48" s="7" t="s">
        <v>34</v>
      </c>
      <c r="E48" s="7"/>
      <c r="F48" s="7"/>
      <c r="G48" s="7"/>
      <c r="H48" s="7"/>
      <c r="I48" s="7"/>
      <c r="J48" s="7"/>
      <c r="K48" s="7"/>
    </row>
    <row r="49" spans="4:11" ht="63">
      <c r="D49" s="5" t="s">
        <v>26</v>
      </c>
      <c r="E49" s="5" t="s">
        <v>27</v>
      </c>
      <c r="F49" s="5" t="s">
        <v>28</v>
      </c>
      <c r="G49" s="5" t="s">
        <v>29</v>
      </c>
      <c r="H49" s="5" t="s">
        <v>30</v>
      </c>
      <c r="I49" s="5" t="s">
        <v>31</v>
      </c>
      <c r="J49" s="5" t="s">
        <v>32</v>
      </c>
      <c r="K49" s="5" t="s">
        <v>33</v>
      </c>
    </row>
  </sheetData>
  <sortState ref="A19:H32">
    <sortCondition ref="E19:E32"/>
  </sortState>
  <mergeCells count="3">
    <mergeCell ref="D48:K48"/>
    <mergeCell ref="A16:H16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2025-11-14T05:45:51Z</dcterms:created>
  <dcterms:modified xsi:type="dcterms:W3CDTF">2025-11-27T10:27:50Z</dcterms:modified>
</cp:coreProperties>
</file>