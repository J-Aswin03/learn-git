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5" i="1"/>
  <c r="H6" s="1"/>
  <c r="H7" s="1"/>
  <c r="H8" s="1"/>
  <c r="H4"/>
  <c r="H3"/>
  <c r="H9"/>
  <c r="H15"/>
  <c r="H16" s="1"/>
  <c r="H17" s="1"/>
  <c r="H18" s="1"/>
  <c r="H19" s="1"/>
  <c r="H20" s="1"/>
  <c r="H21" l="1"/>
</calcChain>
</file>

<file path=xl/sharedStrings.xml><?xml version="1.0" encoding="utf-8"?>
<sst xmlns="http://schemas.openxmlformats.org/spreadsheetml/2006/main" count="74" uniqueCount="44">
  <si>
    <t>TNVN0054</t>
  </si>
  <si>
    <t>TNV250003320</t>
  </si>
  <si>
    <t>DISP000003139064</t>
  </si>
  <si>
    <t>TN03509808</t>
  </si>
  <si>
    <t>31-08-2025</t>
  </si>
  <si>
    <t>DISP000003139090</t>
  </si>
  <si>
    <t>TN03509809</t>
  </si>
  <si>
    <t>DISP000003139111</t>
  </si>
  <si>
    <t>TN03509810</t>
  </si>
  <si>
    <t>DISP000003139122</t>
  </si>
  <si>
    <t>TN03509811</t>
  </si>
  <si>
    <t>TNV250003390</t>
  </si>
  <si>
    <t>DISP000003186852</t>
  </si>
  <si>
    <t>TN03509855</t>
  </si>
  <si>
    <t>TNV250004331</t>
  </si>
  <si>
    <t>DISP000004190185</t>
  </si>
  <si>
    <t>TN05009728</t>
  </si>
  <si>
    <t>19-10-2025</t>
  </si>
  <si>
    <t>OTHER STATE</t>
  </si>
  <si>
    <t>S.NO</t>
  </si>
  <si>
    <t>MINE CODE</t>
  </si>
  <si>
    <t>PERMIT NUMBER</t>
  </si>
  <si>
    <t>DISPATCH NUMBER</t>
  </si>
  <si>
    <t>SECURITY PAPER NUMBER</t>
  </si>
  <si>
    <t>DISPATCHED QUANTITY</t>
  </si>
  <si>
    <t>CREATED ON</t>
  </si>
  <si>
    <t>TOTAL QUANTITY</t>
  </si>
  <si>
    <t>TOTAL</t>
  </si>
  <si>
    <t>TNV250003126</t>
  </si>
  <si>
    <t>DISP000002877630</t>
  </si>
  <si>
    <t>TN03509544</t>
  </si>
  <si>
    <t>20-08-2025</t>
  </si>
  <si>
    <t>TNV250003438</t>
  </si>
  <si>
    <t>DISP000003185215</t>
  </si>
  <si>
    <t>TN03509843</t>
  </si>
  <si>
    <t>DISP000003185544</t>
  </si>
  <si>
    <t>TN03509844</t>
  </si>
  <si>
    <t>DISP000003186701</t>
  </si>
  <si>
    <t>TN03509852</t>
  </si>
  <si>
    <t>DISP000003187511</t>
  </si>
  <si>
    <t>TN03509857</t>
  </si>
  <si>
    <t>DISP000003211290</t>
  </si>
  <si>
    <t>TN03509866</t>
  </si>
  <si>
    <t>TAMIL NADU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</si>
</sst>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topLeftCell="A7" workbookViewId="0">
      <selection activeCell="C23" sqref="C23"/>
    </sheetView>
  </sheetViews>
  <sheetFormatPr defaultRowHeight="15"/>
  <cols>
    <col min="2" max="2" width="12.140625" bestFit="1" customWidth="1"/>
    <col min="3" max="3" width="13.85546875" bestFit="1" customWidth="1"/>
    <col min="4" max="4" width="19.140625" customWidth="1"/>
    <col min="5" max="5" width="16.5703125" customWidth="1"/>
    <col min="6" max="6" width="13" customWidth="1"/>
    <col min="7" max="7" width="10.7109375" customWidth="1"/>
    <col min="8" max="8" width="13.85546875" customWidth="1"/>
  </cols>
  <sheetData>
    <row r="1" spans="1:8">
      <c r="A1" s="4" t="s">
        <v>43</v>
      </c>
      <c r="B1" s="4"/>
      <c r="C1" s="4"/>
      <c r="D1" s="4"/>
      <c r="E1" s="4"/>
      <c r="F1" s="4"/>
      <c r="G1" s="4"/>
      <c r="H1" s="4"/>
    </row>
    <row r="2" spans="1:8" ht="47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</row>
    <row r="3" spans="1:8">
      <c r="A3" s="2">
        <v>1</v>
      </c>
      <c r="B3" s="2" t="s">
        <v>0</v>
      </c>
      <c r="C3" s="2" t="s">
        <v>28</v>
      </c>
      <c r="D3" s="2" t="s">
        <v>29</v>
      </c>
      <c r="E3" s="2" t="s">
        <v>30</v>
      </c>
      <c r="F3" s="2">
        <v>32</v>
      </c>
      <c r="G3" s="2" t="s">
        <v>31</v>
      </c>
      <c r="H3" s="2">
        <f>F3</f>
        <v>32</v>
      </c>
    </row>
    <row r="4" spans="1:8">
      <c r="A4" s="2">
        <v>2</v>
      </c>
      <c r="B4" s="2" t="s">
        <v>0</v>
      </c>
      <c r="C4" s="2" t="s">
        <v>32</v>
      </c>
      <c r="D4" s="2" t="s">
        <v>33</v>
      </c>
      <c r="E4" s="2" t="s">
        <v>34</v>
      </c>
      <c r="F4" s="2">
        <v>25</v>
      </c>
      <c r="G4" s="3">
        <v>45697</v>
      </c>
      <c r="H4" s="2">
        <f>H3+F4</f>
        <v>57</v>
      </c>
    </row>
    <row r="5" spans="1:8">
      <c r="A5" s="2">
        <v>3</v>
      </c>
      <c r="B5" s="2" t="s">
        <v>0</v>
      </c>
      <c r="C5" s="2" t="s">
        <v>32</v>
      </c>
      <c r="D5" s="2" t="s">
        <v>35</v>
      </c>
      <c r="E5" s="2" t="s">
        <v>36</v>
      </c>
      <c r="F5" s="2">
        <v>32</v>
      </c>
      <c r="G5" s="3">
        <v>45697</v>
      </c>
      <c r="H5" s="2">
        <f t="shared" ref="H5:H8" si="0">H4+F5</f>
        <v>89</v>
      </c>
    </row>
    <row r="6" spans="1:8">
      <c r="A6" s="2">
        <v>4</v>
      </c>
      <c r="B6" s="2" t="s">
        <v>0</v>
      </c>
      <c r="C6" s="2" t="s">
        <v>32</v>
      </c>
      <c r="D6" s="2" t="s">
        <v>37</v>
      </c>
      <c r="E6" s="2" t="s">
        <v>38</v>
      </c>
      <c r="F6" s="2">
        <v>25</v>
      </c>
      <c r="G6" s="3">
        <v>45725</v>
      </c>
      <c r="H6" s="2">
        <f t="shared" si="0"/>
        <v>114</v>
      </c>
    </row>
    <row r="7" spans="1:8">
      <c r="A7" s="2">
        <v>5</v>
      </c>
      <c r="B7" s="2" t="s">
        <v>0</v>
      </c>
      <c r="C7" s="2" t="s">
        <v>32</v>
      </c>
      <c r="D7" s="2" t="s">
        <v>39</v>
      </c>
      <c r="E7" s="2" t="s">
        <v>40</v>
      </c>
      <c r="F7" s="2">
        <v>25</v>
      </c>
      <c r="G7" s="3">
        <v>45725</v>
      </c>
      <c r="H7" s="2">
        <f t="shared" si="0"/>
        <v>139</v>
      </c>
    </row>
    <row r="8" spans="1:8">
      <c r="A8" s="2">
        <v>6</v>
      </c>
      <c r="B8" s="2" t="s">
        <v>0</v>
      </c>
      <c r="C8" s="2" t="s">
        <v>32</v>
      </c>
      <c r="D8" s="2" t="s">
        <v>41</v>
      </c>
      <c r="E8" s="2" t="s">
        <v>42</v>
      </c>
      <c r="F8" s="2">
        <v>25</v>
      </c>
      <c r="G8" s="3">
        <v>45725</v>
      </c>
      <c r="H8" s="2">
        <f t="shared" si="0"/>
        <v>164</v>
      </c>
    </row>
    <row r="9" spans="1:8">
      <c r="A9" s="5" t="s">
        <v>27</v>
      </c>
      <c r="B9" s="5"/>
      <c r="C9" s="5"/>
      <c r="D9" s="5"/>
      <c r="E9" s="5"/>
      <c r="F9" s="5"/>
      <c r="G9" s="5"/>
      <c r="H9" s="2">
        <f>SUM(G3:G8)</f>
        <v>228569</v>
      </c>
    </row>
    <row r="13" spans="1:8">
      <c r="A13" s="4" t="s">
        <v>18</v>
      </c>
      <c r="B13" s="4"/>
      <c r="C13" s="4"/>
      <c r="D13" s="4"/>
      <c r="E13" s="4"/>
      <c r="F13" s="4"/>
      <c r="G13" s="4"/>
      <c r="H13" s="4"/>
    </row>
    <row r="14" spans="1:8" ht="30" customHeight="1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</row>
    <row r="15" spans="1:8">
      <c r="A15" s="2">
        <v>1</v>
      </c>
      <c r="B15" s="2" t="s">
        <v>0</v>
      </c>
      <c r="C15" s="2" t="s">
        <v>1</v>
      </c>
      <c r="D15" s="2" t="s">
        <v>2</v>
      </c>
      <c r="E15" s="2" t="s">
        <v>3</v>
      </c>
      <c r="F15" s="2">
        <v>32</v>
      </c>
      <c r="G15" s="2" t="s">
        <v>4</v>
      </c>
      <c r="H15" s="2">
        <f>F15</f>
        <v>32</v>
      </c>
    </row>
    <row r="16" spans="1:8">
      <c r="A16" s="2">
        <v>2</v>
      </c>
      <c r="B16" s="2" t="s">
        <v>0</v>
      </c>
      <c r="C16" s="2" t="s">
        <v>1</v>
      </c>
      <c r="D16" s="2" t="s">
        <v>5</v>
      </c>
      <c r="E16" s="2" t="s">
        <v>6</v>
      </c>
      <c r="F16" s="2">
        <v>32</v>
      </c>
      <c r="G16" s="2" t="s">
        <v>4</v>
      </c>
      <c r="H16" s="2">
        <f>F16+H15</f>
        <v>64</v>
      </c>
    </row>
    <row r="17" spans="1:8">
      <c r="A17" s="2">
        <v>3</v>
      </c>
      <c r="B17" s="2" t="s">
        <v>0</v>
      </c>
      <c r="C17" s="2" t="s">
        <v>1</v>
      </c>
      <c r="D17" s="2" t="s">
        <v>7</v>
      </c>
      <c r="E17" s="2" t="s">
        <v>8</v>
      </c>
      <c r="F17" s="2">
        <v>32</v>
      </c>
      <c r="G17" s="2" t="s">
        <v>4</v>
      </c>
      <c r="H17" s="2">
        <f t="shared" ref="H17:H20" si="1">F17+H16</f>
        <v>96</v>
      </c>
    </row>
    <row r="18" spans="1:8">
      <c r="A18" s="2">
        <v>4</v>
      </c>
      <c r="B18" s="2" t="s">
        <v>0</v>
      </c>
      <c r="C18" s="2" t="s">
        <v>1</v>
      </c>
      <c r="D18" s="2" t="s">
        <v>9</v>
      </c>
      <c r="E18" s="2" t="s">
        <v>10</v>
      </c>
      <c r="F18" s="2">
        <v>32</v>
      </c>
      <c r="G18" s="2" t="s">
        <v>4</v>
      </c>
      <c r="H18" s="2">
        <f t="shared" si="1"/>
        <v>128</v>
      </c>
    </row>
    <row r="19" spans="1:8">
      <c r="A19" s="2">
        <v>5</v>
      </c>
      <c r="B19" s="2" t="s">
        <v>0</v>
      </c>
      <c r="C19" s="2" t="s">
        <v>11</v>
      </c>
      <c r="D19" s="2" t="s">
        <v>12</v>
      </c>
      <c r="E19" s="2" t="s">
        <v>13</v>
      </c>
      <c r="F19" s="2">
        <v>32</v>
      </c>
      <c r="G19" s="3">
        <v>45725</v>
      </c>
      <c r="H19" s="2">
        <f t="shared" si="1"/>
        <v>160</v>
      </c>
    </row>
    <row r="20" spans="1:8">
      <c r="A20" s="2">
        <v>6</v>
      </c>
      <c r="B20" s="2" t="s">
        <v>0</v>
      </c>
      <c r="C20" s="2" t="s">
        <v>14</v>
      </c>
      <c r="D20" s="2" t="s">
        <v>15</v>
      </c>
      <c r="E20" s="2" t="s">
        <v>16</v>
      </c>
      <c r="F20" s="2">
        <v>9</v>
      </c>
      <c r="G20" s="2" t="s">
        <v>17</v>
      </c>
      <c r="H20" s="2">
        <f t="shared" si="1"/>
        <v>169</v>
      </c>
    </row>
    <row r="21" spans="1:8">
      <c r="A21" s="5" t="s">
        <v>27</v>
      </c>
      <c r="B21" s="5"/>
      <c r="C21" s="5"/>
      <c r="D21" s="5"/>
      <c r="E21" s="5"/>
      <c r="F21" s="5"/>
      <c r="G21" s="5"/>
      <c r="H21" s="2">
        <f>SUM(H15:H20)</f>
        <v>649</v>
      </c>
    </row>
  </sheetData>
  <sortState ref="B3:I8">
    <sortCondition ref="F3:F8"/>
  </sortState>
  <mergeCells count="4">
    <mergeCell ref="A13:H13"/>
    <mergeCell ref="A21:G21"/>
    <mergeCell ref="A1:H1"/>
    <mergeCell ref="A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2025-11-14T07:00:30Z</dcterms:created>
  <dcterms:modified xsi:type="dcterms:W3CDTF">2025-11-18T08:23:52Z</dcterms:modified>
</cp:coreProperties>
</file>