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15600" windowHeight="11760"/>
  </bookViews>
  <sheets>
    <sheet name="CREDIT SALES CASH" sheetId="1" r:id="rId1"/>
    <sheet name="CREDIT SALES_31_08_25" sheetId="2" r:id="rId2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9" i="1"/>
  <c r="P40" l="1"/>
  <c r="P18"/>
  <c r="P44"/>
  <c r="P43"/>
  <c r="P41"/>
  <c r="P39"/>
  <c r="P30"/>
  <c r="P26"/>
  <c r="P25"/>
  <c r="P24"/>
  <c r="P20"/>
  <c r="P13"/>
  <c r="P8"/>
  <c r="K41"/>
  <c r="K40" i="2"/>
  <c r="I38"/>
  <c r="Q54" i="1"/>
  <c r="D67"/>
  <c r="K44"/>
  <c r="K8"/>
  <c r="K13"/>
  <c r="K53"/>
  <c r="P53" s="1"/>
  <c r="G52"/>
  <c r="K52" s="1"/>
  <c r="P52" s="1"/>
  <c r="I54"/>
  <c r="H54"/>
  <c r="N54"/>
  <c r="K20"/>
  <c r="G7"/>
  <c r="K7" s="1"/>
  <c r="P7" s="1"/>
  <c r="L54"/>
  <c r="M54"/>
  <c r="G45"/>
  <c r="K45" s="1"/>
  <c r="P45" s="1"/>
  <c r="G48"/>
  <c r="K48" s="1"/>
  <c r="P48" s="1"/>
  <c r="G47"/>
  <c r="K47" s="1"/>
  <c r="P47" s="1"/>
  <c r="G43"/>
  <c r="K43" s="1"/>
  <c r="K18"/>
  <c r="K39"/>
  <c r="G38"/>
  <c r="K38" s="1"/>
  <c r="P38" s="1"/>
  <c r="G34"/>
  <c r="K34" s="1"/>
  <c r="G33"/>
  <c r="K33" s="1"/>
  <c r="P33" s="1"/>
  <c r="G31"/>
  <c r="K31" s="1"/>
  <c r="P31" s="1"/>
  <c r="K30"/>
  <c r="G21"/>
  <c r="K21" s="1"/>
  <c r="P21" s="1"/>
  <c r="K26"/>
  <c r="K24"/>
  <c r="K25"/>
  <c r="G12"/>
  <c r="K12" s="1"/>
  <c r="G50"/>
  <c r="K50" s="1"/>
  <c r="P50" s="1"/>
  <c r="G11"/>
  <c r="K11" s="1"/>
  <c r="P11" s="1"/>
  <c r="G6"/>
  <c r="K6" s="1"/>
  <c r="P6" s="1"/>
  <c r="G4"/>
  <c r="K4" s="1"/>
  <c r="P4" s="1"/>
  <c r="G51"/>
  <c r="K51" s="1"/>
  <c r="P51" s="1"/>
  <c r="G49"/>
  <c r="K49" s="1"/>
  <c r="P49" s="1"/>
  <c r="G46"/>
  <c r="K46" s="1"/>
  <c r="P46" s="1"/>
  <c r="E30" i="2"/>
  <c r="D30"/>
  <c r="M23"/>
  <c r="L23"/>
  <c r="K23"/>
  <c r="I23"/>
  <c r="H23"/>
  <c r="G12"/>
  <c r="J12" s="1"/>
  <c r="O12" s="1"/>
  <c r="G9"/>
  <c r="J9" s="1"/>
  <c r="O9" s="1"/>
  <c r="G9" i="1"/>
  <c r="K9" s="1"/>
  <c r="E61"/>
  <c r="G28"/>
  <c r="K28" s="1"/>
  <c r="G27"/>
  <c r="K27" s="1"/>
  <c r="G23"/>
  <c r="K23" s="1"/>
  <c r="P23" s="1"/>
  <c r="G10" i="2"/>
  <c r="J10" s="1"/>
  <c r="G6"/>
  <c r="J6" s="1"/>
  <c r="O6" s="1"/>
  <c r="P23"/>
  <c r="G22"/>
  <c r="J22" s="1"/>
  <c r="O22" s="1"/>
  <c r="G21"/>
  <c r="J21" s="1"/>
  <c r="O21" s="1"/>
  <c r="G20"/>
  <c r="J20" s="1"/>
  <c r="O20" s="1"/>
  <c r="G19"/>
  <c r="J19" s="1"/>
  <c r="O19" s="1"/>
  <c r="G18"/>
  <c r="J18" s="1"/>
  <c r="O18" s="1"/>
  <c r="G17"/>
  <c r="J17" s="1"/>
  <c r="O17" s="1"/>
  <c r="G16"/>
  <c r="J16" s="1"/>
  <c r="O16" s="1"/>
  <c r="G15"/>
  <c r="J15" s="1"/>
  <c r="O15" s="1"/>
  <c r="G14"/>
  <c r="J14" s="1"/>
  <c r="O14" s="1"/>
  <c r="G13"/>
  <c r="J13" s="1"/>
  <c r="O13" s="1"/>
  <c r="G11"/>
  <c r="J11" s="1"/>
  <c r="O11" s="1"/>
  <c r="G8"/>
  <c r="J8" s="1"/>
  <c r="O8" s="1"/>
  <c r="G7"/>
  <c r="J7" s="1"/>
  <c r="O7" s="1"/>
  <c r="G5"/>
  <c r="G4"/>
  <c r="J4" s="1"/>
  <c r="O4" s="1"/>
  <c r="D61" i="1"/>
  <c r="G42"/>
  <c r="K42" s="1"/>
  <c r="P42" s="1"/>
  <c r="G40"/>
  <c r="K40" s="1"/>
  <c r="G29"/>
  <c r="K29" s="1"/>
  <c r="P29" s="1"/>
  <c r="G37"/>
  <c r="K37" s="1"/>
  <c r="G36"/>
  <c r="K36" s="1"/>
  <c r="P36" s="1"/>
  <c r="G35"/>
  <c r="K35" s="1"/>
  <c r="P35" s="1"/>
  <c r="G32"/>
  <c r="K32" s="1"/>
  <c r="P32" s="1"/>
  <c r="G14"/>
  <c r="P12" l="1"/>
  <c r="P37"/>
  <c r="P34"/>
  <c r="G23" i="2"/>
  <c r="O10"/>
  <c r="J5"/>
  <c r="J23" s="1"/>
  <c r="G16" i="1"/>
  <c r="K16" s="1"/>
  <c r="P16" s="1"/>
  <c r="G15"/>
  <c r="K15" s="1"/>
  <c r="K14"/>
  <c r="P14" s="1"/>
  <c r="G10"/>
  <c r="K10" s="1"/>
  <c r="P10" s="1"/>
  <c r="G5"/>
  <c r="G22"/>
  <c r="G17"/>
  <c r="G19"/>
  <c r="G54" l="1"/>
  <c r="O5" i="2"/>
  <c r="O23" s="1"/>
  <c r="K5" i="1"/>
  <c r="K19"/>
  <c r="P19" s="1"/>
  <c r="K17"/>
  <c r="P17" s="1"/>
  <c r="K22"/>
  <c r="P22" s="1"/>
  <c r="K54" l="1"/>
  <c r="P5"/>
  <c r="P54" s="1"/>
</calcChain>
</file>

<file path=xl/sharedStrings.xml><?xml version="1.0" encoding="utf-8"?>
<sst xmlns="http://schemas.openxmlformats.org/spreadsheetml/2006/main" count="228" uniqueCount="119">
  <si>
    <t>Date</t>
  </si>
  <si>
    <t>Old Balance</t>
  </si>
  <si>
    <t>Advance</t>
  </si>
  <si>
    <t>Grand Total</t>
  </si>
  <si>
    <t>Total Amount</t>
  </si>
  <si>
    <t>Batta</t>
  </si>
  <si>
    <t>Discount</t>
  </si>
  <si>
    <t>Balance Amount</t>
  </si>
  <si>
    <t>Cash</t>
  </si>
  <si>
    <t>Gpay</t>
  </si>
  <si>
    <t>Gpay Name</t>
  </si>
  <si>
    <t xml:space="preserve">Balance </t>
  </si>
  <si>
    <t>10</t>
  </si>
  <si>
    <t>Srl.No</t>
  </si>
  <si>
    <t>Party Name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</si>
  <si>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</si>
  <si>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</si>
  <si>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</si>
  <si>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</si>
  <si>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</si>
  <si>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</si>
  <si>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</si>
  <si>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</si>
  <si>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</si>
  <si>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APR TILES</t>
  </si>
  <si>
    <t>JMJ</t>
  </si>
  <si>
    <t>IYYAPPAN M</t>
  </si>
  <si>
    <t>KARIKALAN</t>
  </si>
  <si>
    <t>KITTU</t>
  </si>
  <si>
    <t>KINCY</t>
  </si>
  <si>
    <t>KUMAR ARAL</t>
  </si>
  <si>
    <t>LINGAM</t>
  </si>
  <si>
    <t>MURUGAN SAHADEVAN</t>
  </si>
  <si>
    <t>2400</t>
  </si>
  <si>
    <t>MKV</t>
  </si>
  <si>
    <t>11</t>
  </si>
  <si>
    <t>12</t>
  </si>
  <si>
    <t>13</t>
  </si>
  <si>
    <t>14</t>
  </si>
  <si>
    <t>NAGARAJAN</t>
  </si>
  <si>
    <t>SEF (M)</t>
  </si>
  <si>
    <t>PAREETH</t>
  </si>
  <si>
    <t>PSK</t>
  </si>
  <si>
    <t>RAMACHANDRAN</t>
  </si>
  <si>
    <t>RAJAN</t>
  </si>
  <si>
    <t>Cheque</t>
  </si>
  <si>
    <t>RAMAIYA</t>
  </si>
  <si>
    <t>REENA TRADERS</t>
  </si>
  <si>
    <t>SHEK</t>
  </si>
  <si>
    <t>TOTAL AMOUNT</t>
  </si>
  <si>
    <t>TOTAL CASH</t>
  </si>
  <si>
    <t>GPAY : JMJ</t>
  </si>
  <si>
    <t xml:space="preserve">               CHEQUE</t>
  </si>
  <si>
    <t>THAMIRAPARANI</t>
  </si>
  <si>
    <t>THNGASELVAN</t>
  </si>
  <si>
    <t>RAZZAK</t>
  </si>
  <si>
    <t>PARTHIBEN SEEETAPAL</t>
  </si>
  <si>
    <t>RAJARETHINAM</t>
  </si>
  <si>
    <t>KUMAR THZHAKUDI</t>
  </si>
  <si>
    <t>MURUGAPPAN</t>
  </si>
  <si>
    <t>NADARAJAN</t>
  </si>
  <si>
    <t>CNR</t>
  </si>
  <si>
    <t>15</t>
  </si>
  <si>
    <t>16</t>
  </si>
  <si>
    <t>17</t>
  </si>
  <si>
    <t>18</t>
  </si>
  <si>
    <t>19</t>
  </si>
  <si>
    <t>20</t>
  </si>
  <si>
    <t>DHAS</t>
  </si>
  <si>
    <t>21</t>
  </si>
  <si>
    <t>VIJAY</t>
  </si>
  <si>
    <t>NARAYANAN</t>
  </si>
  <si>
    <t>OPENING BALANCE</t>
  </si>
  <si>
    <t xml:space="preserve">               SEF (M)</t>
  </si>
  <si>
    <t>24-08-2025 TO 30-08-2025 CREDIT SALES CASH</t>
  </si>
  <si>
    <t>31-08-2025 CREDIT SALES CASH</t>
  </si>
  <si>
    <t>ARUL</t>
  </si>
  <si>
    <t>JANAKI</t>
  </si>
  <si>
    <t>THANGAMANI</t>
  </si>
  <si>
    <t>JEYARAJ INTERLOCK</t>
  </si>
  <si>
    <t>MANOGAR</t>
  </si>
  <si>
    <t>PRAVEEN</t>
  </si>
  <si>
    <t>SUBHASH</t>
  </si>
  <si>
    <t>SUGUMARAN</t>
  </si>
  <si>
    <t>RESS BLUE METALS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</si>
  <si>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</si>
  <si>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</si>
  <si>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</si>
  <si>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</si>
  <si>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</si>
  <si>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</si>
  <si>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</si>
  <si>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</si>
  <si>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</si>
  <si>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</si>
  <si>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</si>
  <si>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</si>
  <si>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</si>
  <si>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</si>
  <si>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</si>
  <si>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</si>
  <si>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</si>
  <si>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</si>
  <si>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</si>
  <si>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</si>
  <si>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</si>
  <si>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</si>
  <si>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</si>
  <si>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</si>
  <si>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</si>
  <si>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 xml:space="preserve"> Fringht</t>
  </si>
  <si>
    <t xml:space="preserve"> CREDIT SALES CASH</t>
  </si>
  <si>
    <t>GPAY : SEF (M)</t>
  </si>
  <si>
    <t>CHEQUE</t>
  </si>
  <si>
    <t>47</t>
  </si>
  <si>
    <t>48</t>
  </si>
  <si>
    <t>49</t>
  </si>
  <si>
    <t>50</t>
  </si>
  <si>
    <t>ALLWIN PRAVEEN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</si>
</sst>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14" fontId="0" fillId="0" borderId="1" xfId="0" quotePrefix="1" applyNumberFormat="1" applyBorder="1"/>
    <xf numFmtId="14" fontId="0" fillId="0" borderId="1" xfId="0" applyNumberFormat="1" applyBorder="1"/>
    <xf numFmtId="0" fontId="0" fillId="0" borderId="1" xfId="0" quotePrefix="1" applyBorder="1"/>
    <xf numFmtId="14" fontId="0" fillId="0" borderId="0" xfId="0" applyNumberFormat="1"/>
    <xf numFmtId="0" fontId="2" fillId="0" borderId="1" xfId="0" applyFont="1" applyBorder="1"/>
    <xf numFmtId="0" fontId="4" fillId="0" borderId="0" xfId="0" applyFont="1"/>
    <xf numFmtId="2" fontId="5" fillId="0" borderId="0" xfId="0" applyNumberFormat="1" applyFont="1" applyAlignment="1">
      <alignment vertical="top"/>
    </xf>
    <xf numFmtId="2" fontId="0" fillId="0" borderId="0" xfId="0" applyNumberFormat="1"/>
    <xf numFmtId="0" fontId="0" fillId="0" borderId="0" xfId="0" applyBorder="1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79"/>
  <sheetViews>
    <sheetView tabSelected="1" workbookViewId="0">
      <selection activeCell="F68" sqref="F68"/>
    </sheetView>
  </sheetViews>
  <sheetFormatPr defaultRowHeight="15"/>
  <cols>
    <col min="1" max="1" width="10.5703125" customWidth="1"/>
    <col min="2" max="2" width="10.42578125" bestFit="1" customWidth="1"/>
    <col min="3" max="3" width="23.140625" customWidth="1"/>
    <col min="4" max="4" width="11.85546875" customWidth="1"/>
    <col min="5" max="5" width="8.7109375" customWidth="1"/>
    <col min="6" max="6" width="11.42578125" customWidth="1"/>
    <col min="7" max="7" width="13.28515625" customWidth="1"/>
    <col min="8" max="8" width="8" customWidth="1"/>
    <col min="10" max="10" width="10.42578125" customWidth="1"/>
    <col min="11" max="11" width="15.28515625" customWidth="1"/>
    <col min="12" max="12" width="10.5703125" customWidth="1"/>
    <col min="13" max="13" width="8.85546875" customWidth="1"/>
    <col min="14" max="14" width="10.5703125" customWidth="1"/>
    <col min="15" max="15" width="11.28515625" customWidth="1"/>
  </cols>
  <sheetData>
    <row r="1" spans="1:17" ht="18.75">
      <c r="A1" s="11" t="s">
        <v>74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3"/>
    </row>
    <row r="3" spans="1:17" ht="15.75">
      <c r="A3" s="6" t="s">
        <v>0</v>
      </c>
      <c r="B3" s="6" t="s">
        <v>13</v>
      </c>
      <c r="C3" s="6" t="s">
        <v>14</v>
      </c>
      <c r="D3" s="6" t="s">
        <v>1</v>
      </c>
      <c r="E3" s="6" t="s">
        <v>2</v>
      </c>
      <c r="F3" s="6" t="s">
        <v>3</v>
      </c>
      <c r="G3" s="6" t="s">
        <v>4</v>
      </c>
      <c r="H3" s="6" t="s">
        <v>5</v>
      </c>
      <c r="I3" s="6" t="s">
        <v>6</v>
      </c>
      <c r="J3" s="6" t="s">
        <v>110</v>
      </c>
      <c r="K3" s="6" t="s">
        <v>7</v>
      </c>
      <c r="L3" s="6" t="s">
        <v>8</v>
      </c>
      <c r="M3" s="6" t="s">
        <v>45</v>
      </c>
      <c r="N3" s="6" t="s">
        <v>9</v>
      </c>
      <c r="O3" s="6" t="s">
        <v>10</v>
      </c>
      <c r="P3" s="6" t="s">
        <v>11</v>
      </c>
      <c r="Q3" s="6" t="s">
        <v>2</v>
      </c>
    </row>
    <row r="4" spans="1:17">
      <c r="A4" s="2">
        <v>45901</v>
      </c>
      <c r="B4" s="2" t="s">
        <v>15</v>
      </c>
      <c r="C4" s="2" t="s">
        <v>118</v>
      </c>
      <c r="D4" s="1">
        <v>12450</v>
      </c>
      <c r="E4" s="1">
        <v>0</v>
      </c>
      <c r="F4" s="1">
        <v>35740</v>
      </c>
      <c r="G4" s="1">
        <f t="shared" ref="G4" si="0">(D4+F4)</f>
        <v>48190</v>
      </c>
      <c r="H4" s="1">
        <v>300</v>
      </c>
      <c r="I4" s="1">
        <v>1600</v>
      </c>
      <c r="J4" s="1"/>
      <c r="K4" s="1">
        <f t="shared" ref="K4" si="1">(G4-H4-I4)</f>
        <v>46290</v>
      </c>
      <c r="L4" s="1">
        <v>10000</v>
      </c>
      <c r="M4" s="1">
        <v>0</v>
      </c>
      <c r="N4" s="1">
        <v>15000</v>
      </c>
      <c r="O4" s="1" t="s">
        <v>40</v>
      </c>
      <c r="P4" s="1">
        <f>(K4-L4-M4-N4)</f>
        <v>21290</v>
      </c>
      <c r="Q4" s="1"/>
    </row>
    <row r="5" spans="1:17">
      <c r="A5" s="2">
        <v>45897</v>
      </c>
      <c r="B5" s="2" t="s">
        <v>16</v>
      </c>
      <c r="C5" s="2" t="s">
        <v>24</v>
      </c>
      <c r="D5" s="1">
        <v>14000</v>
      </c>
      <c r="E5" s="1">
        <v>0</v>
      </c>
      <c r="F5" s="1">
        <v>40490</v>
      </c>
      <c r="G5" s="1">
        <f t="shared" ref="G5:G16" si="2">(D5+F5)</f>
        <v>54490</v>
      </c>
      <c r="H5" s="1">
        <v>0</v>
      </c>
      <c r="I5" s="1">
        <v>0</v>
      </c>
      <c r="J5" s="1"/>
      <c r="K5" s="1">
        <f t="shared" ref="K5:K22" si="3">(G5-H5-I5)</f>
        <v>54490</v>
      </c>
      <c r="L5" s="1">
        <v>0</v>
      </c>
      <c r="M5" s="1">
        <v>0</v>
      </c>
      <c r="N5" s="1">
        <v>50000</v>
      </c>
      <c r="O5" s="1" t="s">
        <v>25</v>
      </c>
      <c r="P5" s="1">
        <f>(K5-L5-M5-N5)</f>
        <v>4490</v>
      </c>
      <c r="Q5" s="1"/>
    </row>
    <row r="6" spans="1:17">
      <c r="A6" s="2">
        <v>45900</v>
      </c>
      <c r="B6" s="2" t="s">
        <v>17</v>
      </c>
      <c r="C6" s="2" t="s">
        <v>76</v>
      </c>
      <c r="D6" s="1">
        <v>0</v>
      </c>
      <c r="E6" s="1">
        <v>0</v>
      </c>
      <c r="F6" s="1">
        <v>207160</v>
      </c>
      <c r="G6" s="1">
        <f t="shared" ref="G6:G7" si="4">(D6+F6)</f>
        <v>207160</v>
      </c>
      <c r="H6" s="1">
        <v>0</v>
      </c>
      <c r="I6" s="1">
        <v>20710</v>
      </c>
      <c r="J6" s="1"/>
      <c r="K6" s="1">
        <f t="shared" ref="K6:K7" si="5">(G6-H6-I6)</f>
        <v>186450</v>
      </c>
      <c r="L6" s="1">
        <v>0</v>
      </c>
      <c r="M6" s="1">
        <v>0</v>
      </c>
      <c r="N6" s="1">
        <v>0</v>
      </c>
      <c r="O6" s="1">
        <v>0</v>
      </c>
      <c r="P6" s="1">
        <f>(K6-L6-M6-N6)</f>
        <v>186450</v>
      </c>
      <c r="Q6" s="1"/>
    </row>
    <row r="7" spans="1:17">
      <c r="A7" s="2">
        <v>45900</v>
      </c>
      <c r="B7" s="2" t="s">
        <v>18</v>
      </c>
      <c r="C7" s="3" t="s">
        <v>61</v>
      </c>
      <c r="D7" s="1">
        <v>10</v>
      </c>
      <c r="E7" s="1">
        <v>0</v>
      </c>
      <c r="F7" s="1">
        <v>57460</v>
      </c>
      <c r="G7" s="1">
        <f t="shared" si="4"/>
        <v>57470</v>
      </c>
      <c r="H7" s="1">
        <v>510</v>
      </c>
      <c r="I7" s="1">
        <v>2480</v>
      </c>
      <c r="J7" s="1"/>
      <c r="K7" s="1">
        <f t="shared" si="5"/>
        <v>54480</v>
      </c>
      <c r="L7" s="1">
        <v>0</v>
      </c>
      <c r="M7" s="1">
        <v>0</v>
      </c>
      <c r="N7" s="1">
        <v>44000</v>
      </c>
      <c r="O7" s="1" t="s">
        <v>25</v>
      </c>
      <c r="P7" s="1">
        <f t="shared" ref="P7" si="6">(K7-L7-M7-N7)</f>
        <v>10480</v>
      </c>
      <c r="Q7" s="1"/>
    </row>
    <row r="8" spans="1:17">
      <c r="A8" s="2">
        <v>45902</v>
      </c>
      <c r="B8" s="2" t="s">
        <v>19</v>
      </c>
      <c r="C8" s="3" t="s">
        <v>61</v>
      </c>
      <c r="D8" s="1">
        <v>10480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/>
      <c r="K8" s="1">
        <f t="shared" ref="K8" si="7">(G8-H8-I8)</f>
        <v>0</v>
      </c>
      <c r="L8" s="1">
        <v>9500</v>
      </c>
      <c r="M8" s="1">
        <v>0</v>
      </c>
      <c r="N8" s="1">
        <v>0</v>
      </c>
      <c r="O8" s="1"/>
      <c r="P8" s="1">
        <f>SUM(D8-L8-N8)</f>
        <v>980</v>
      </c>
      <c r="Q8" s="1"/>
    </row>
    <row r="9" spans="1:17">
      <c r="A9" s="2">
        <v>45899</v>
      </c>
      <c r="B9" s="2" t="s">
        <v>20</v>
      </c>
      <c r="C9" s="2" t="s">
        <v>68</v>
      </c>
      <c r="D9" s="1">
        <v>10</v>
      </c>
      <c r="E9" s="1">
        <v>0</v>
      </c>
      <c r="F9" s="1">
        <v>7140</v>
      </c>
      <c r="G9" s="1">
        <f t="shared" ref="G9" si="8">(D9+F9)</f>
        <v>7150</v>
      </c>
      <c r="H9" s="1">
        <v>50</v>
      </c>
      <c r="I9" s="1">
        <v>0</v>
      </c>
      <c r="J9" s="1"/>
      <c r="K9" s="1">
        <f t="shared" ref="K9" si="9">(G9-H9-I9)</f>
        <v>7100</v>
      </c>
      <c r="L9" s="1">
        <v>0</v>
      </c>
      <c r="M9" s="1">
        <v>0</v>
      </c>
      <c r="N9" s="1">
        <v>7140</v>
      </c>
      <c r="O9" s="1" t="s">
        <v>25</v>
      </c>
      <c r="P9" s="1">
        <v>0</v>
      </c>
      <c r="Q9" s="1">
        <v>40</v>
      </c>
    </row>
    <row r="10" spans="1:17">
      <c r="A10" s="2">
        <v>45899</v>
      </c>
      <c r="B10" s="2" t="s">
        <v>21</v>
      </c>
      <c r="C10" s="2" t="s">
        <v>26</v>
      </c>
      <c r="D10" s="1">
        <v>0</v>
      </c>
      <c r="E10" s="1">
        <v>0</v>
      </c>
      <c r="F10" s="1">
        <v>7020</v>
      </c>
      <c r="G10" s="1">
        <f t="shared" si="2"/>
        <v>7020</v>
      </c>
      <c r="H10" s="1">
        <v>50</v>
      </c>
      <c r="I10" s="1">
        <v>0</v>
      </c>
      <c r="J10" s="1"/>
      <c r="K10" s="1">
        <f t="shared" si="3"/>
        <v>6970</v>
      </c>
      <c r="L10" s="1">
        <v>0</v>
      </c>
      <c r="M10" s="1">
        <v>0</v>
      </c>
      <c r="N10" s="1">
        <v>6920</v>
      </c>
      <c r="O10" s="1" t="s">
        <v>25</v>
      </c>
      <c r="P10" s="1">
        <f t="shared" ref="P10:P43" si="10">(K10-L10-M10-N10)</f>
        <v>50</v>
      </c>
      <c r="Q10" s="1"/>
    </row>
    <row r="11" spans="1:17">
      <c r="A11" s="2">
        <v>45903</v>
      </c>
      <c r="B11" s="2" t="s">
        <v>22</v>
      </c>
      <c r="C11" s="3" t="s">
        <v>77</v>
      </c>
      <c r="D11" s="1">
        <v>0</v>
      </c>
      <c r="E11" s="1">
        <v>0</v>
      </c>
      <c r="F11" s="1">
        <v>82970</v>
      </c>
      <c r="G11" s="1">
        <f t="shared" ref="G11" si="11">(D11+F11)</f>
        <v>82970</v>
      </c>
      <c r="H11" s="1">
        <v>1100</v>
      </c>
      <c r="I11" s="1">
        <v>4070</v>
      </c>
      <c r="J11" s="1"/>
      <c r="K11" s="1">
        <f t="shared" ref="K11:K12" si="12">(G11-H11-I11)</f>
        <v>77800</v>
      </c>
      <c r="L11" s="1">
        <v>77800</v>
      </c>
      <c r="M11" s="1">
        <v>0</v>
      </c>
      <c r="N11" s="1">
        <v>0</v>
      </c>
      <c r="O11" s="1"/>
      <c r="P11" s="1">
        <f t="shared" ref="P11" si="13">(K11-L11-M11-N11)</f>
        <v>0</v>
      </c>
      <c r="Q11" s="1"/>
    </row>
    <row r="12" spans="1:17">
      <c r="A12" s="2">
        <v>45894</v>
      </c>
      <c r="B12" s="2" t="s">
        <v>23</v>
      </c>
      <c r="C12" s="3" t="s">
        <v>79</v>
      </c>
      <c r="D12" s="1">
        <v>0</v>
      </c>
      <c r="E12" s="1">
        <v>0</v>
      </c>
      <c r="F12" s="1">
        <v>40750</v>
      </c>
      <c r="G12" s="1">
        <f t="shared" ref="G12" si="14">(D12+F12)</f>
        <v>40750</v>
      </c>
      <c r="H12" s="1">
        <v>0</v>
      </c>
      <c r="I12" s="1">
        <v>0</v>
      </c>
      <c r="J12" s="1"/>
      <c r="K12" s="1">
        <f t="shared" si="12"/>
        <v>40750</v>
      </c>
      <c r="L12" s="1">
        <v>20000</v>
      </c>
      <c r="M12" s="1">
        <v>0</v>
      </c>
      <c r="N12" s="1">
        <v>0</v>
      </c>
      <c r="O12" s="1"/>
      <c r="P12" s="1">
        <f t="shared" ref="P12" si="15">(K12-L12-M12-N12)</f>
        <v>20750</v>
      </c>
      <c r="Q12" s="1"/>
    </row>
    <row r="13" spans="1:17">
      <c r="A13" s="2">
        <v>45894</v>
      </c>
      <c r="B13" s="2" t="s">
        <v>12</v>
      </c>
      <c r="C13" s="3" t="s">
        <v>79</v>
      </c>
      <c r="D13" s="1">
        <v>20750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/>
      <c r="K13" s="1">
        <f t="shared" ref="K13" si="16">(G13-H13-I13)</f>
        <v>0</v>
      </c>
      <c r="L13" s="1">
        <v>20750</v>
      </c>
      <c r="M13" s="1">
        <v>0</v>
      </c>
      <c r="N13" s="1">
        <v>0</v>
      </c>
      <c r="O13" s="1"/>
      <c r="P13" s="1">
        <f>SUM(D13-L13-N13)</f>
        <v>0</v>
      </c>
      <c r="Q13" s="1"/>
    </row>
    <row r="14" spans="1:17">
      <c r="A14" s="2">
        <v>45899</v>
      </c>
      <c r="B14" s="2" t="s">
        <v>35</v>
      </c>
      <c r="C14" s="3" t="s">
        <v>27</v>
      </c>
      <c r="D14" s="1">
        <v>0</v>
      </c>
      <c r="E14" s="1">
        <v>0</v>
      </c>
      <c r="F14" s="1">
        <v>14870</v>
      </c>
      <c r="G14" s="1">
        <f t="shared" si="2"/>
        <v>14870</v>
      </c>
      <c r="H14" s="1">
        <v>100</v>
      </c>
      <c r="I14" s="1">
        <v>0</v>
      </c>
      <c r="J14" s="1"/>
      <c r="K14" s="1">
        <f t="shared" si="3"/>
        <v>14770</v>
      </c>
      <c r="L14" s="1">
        <v>0</v>
      </c>
      <c r="M14" s="1">
        <v>0</v>
      </c>
      <c r="N14" s="1">
        <v>14770</v>
      </c>
      <c r="O14" s="1" t="s">
        <v>25</v>
      </c>
      <c r="P14" s="1">
        <f t="shared" si="10"/>
        <v>0</v>
      </c>
      <c r="Q14" s="1"/>
    </row>
    <row r="15" spans="1:17">
      <c r="A15" s="2">
        <v>45899</v>
      </c>
      <c r="B15" s="2" t="s">
        <v>36</v>
      </c>
      <c r="C15" s="3" t="s">
        <v>28</v>
      </c>
      <c r="D15" s="1">
        <v>0</v>
      </c>
      <c r="E15" s="1">
        <v>0</v>
      </c>
      <c r="F15" s="1">
        <v>30400</v>
      </c>
      <c r="G15" s="1">
        <f t="shared" si="2"/>
        <v>30400</v>
      </c>
      <c r="H15" s="1">
        <v>310</v>
      </c>
      <c r="I15" s="1">
        <v>0</v>
      </c>
      <c r="J15" s="1"/>
      <c r="K15" s="1">
        <f t="shared" si="3"/>
        <v>30090</v>
      </c>
      <c r="L15" s="1">
        <v>30100</v>
      </c>
      <c r="M15" s="1">
        <v>0</v>
      </c>
      <c r="N15" s="1">
        <v>0</v>
      </c>
      <c r="O15" s="1"/>
      <c r="P15" s="1">
        <v>0</v>
      </c>
      <c r="Q15" s="1">
        <v>10</v>
      </c>
    </row>
    <row r="16" spans="1:17">
      <c r="A16" s="2">
        <v>45899</v>
      </c>
      <c r="B16" s="2" t="s">
        <v>37</v>
      </c>
      <c r="C16" s="3" t="s">
        <v>29</v>
      </c>
      <c r="D16" s="1">
        <v>1920</v>
      </c>
      <c r="E16" s="1">
        <v>0</v>
      </c>
      <c r="F16" s="1">
        <v>24560</v>
      </c>
      <c r="G16" s="1">
        <f t="shared" si="2"/>
        <v>26480</v>
      </c>
      <c r="H16" s="1">
        <v>200</v>
      </c>
      <c r="I16" s="1">
        <v>1230</v>
      </c>
      <c r="J16" s="1"/>
      <c r="K16" s="1">
        <f t="shared" si="3"/>
        <v>25050</v>
      </c>
      <c r="L16" s="1">
        <v>0</v>
      </c>
      <c r="M16" s="1">
        <v>0</v>
      </c>
      <c r="N16" s="1">
        <v>25050</v>
      </c>
      <c r="O16" s="1" t="s">
        <v>25</v>
      </c>
      <c r="P16" s="1">
        <f t="shared" si="10"/>
        <v>0</v>
      </c>
      <c r="Q16" s="1"/>
    </row>
    <row r="17" spans="1:17">
      <c r="A17" s="2">
        <v>45899</v>
      </c>
      <c r="B17" s="2" t="s">
        <v>38</v>
      </c>
      <c r="C17" s="3" t="s">
        <v>30</v>
      </c>
      <c r="D17" s="1">
        <v>510</v>
      </c>
      <c r="E17" s="1">
        <v>0</v>
      </c>
      <c r="F17" s="1">
        <v>26980</v>
      </c>
      <c r="G17" s="1">
        <f>(D17+F17)</f>
        <v>27490</v>
      </c>
      <c r="H17" s="1">
        <v>200</v>
      </c>
      <c r="I17" s="1">
        <v>0</v>
      </c>
      <c r="J17" s="1"/>
      <c r="K17" s="1">
        <f t="shared" si="3"/>
        <v>27290</v>
      </c>
      <c r="L17" s="1">
        <v>0</v>
      </c>
      <c r="M17" s="1">
        <v>0</v>
      </c>
      <c r="N17" s="1">
        <v>24500</v>
      </c>
      <c r="O17" s="1" t="s">
        <v>25</v>
      </c>
      <c r="P17" s="1">
        <f t="shared" si="10"/>
        <v>2790</v>
      </c>
      <c r="Q17" s="1"/>
    </row>
    <row r="18" spans="1:17">
      <c r="A18" s="2">
        <v>45900</v>
      </c>
      <c r="B18" s="2" t="s">
        <v>62</v>
      </c>
      <c r="C18" s="3" t="s">
        <v>58</v>
      </c>
      <c r="D18" s="1">
        <v>9150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/>
      <c r="K18" s="1">
        <f t="shared" si="3"/>
        <v>0</v>
      </c>
      <c r="L18" s="1">
        <v>0</v>
      </c>
      <c r="M18" s="1">
        <v>0</v>
      </c>
      <c r="N18" s="1">
        <v>5000</v>
      </c>
      <c r="O18" s="1" t="s">
        <v>25</v>
      </c>
      <c r="P18" s="1">
        <f>SUM(D18-L18-N18)</f>
        <v>4150</v>
      </c>
      <c r="Q18" s="1"/>
    </row>
    <row r="19" spans="1:17">
      <c r="A19" s="2">
        <v>45899</v>
      </c>
      <c r="B19" s="2" t="s">
        <v>63</v>
      </c>
      <c r="C19" s="3" t="s">
        <v>31</v>
      </c>
      <c r="D19" s="1">
        <v>0</v>
      </c>
      <c r="E19" s="1">
        <v>0</v>
      </c>
      <c r="F19" s="1">
        <v>57900</v>
      </c>
      <c r="G19" s="1">
        <f>(D19+F19)</f>
        <v>57900</v>
      </c>
      <c r="H19" s="1">
        <v>450</v>
      </c>
      <c r="I19" s="1">
        <v>0</v>
      </c>
      <c r="J19" s="1"/>
      <c r="K19" s="1">
        <f t="shared" si="3"/>
        <v>57450</v>
      </c>
      <c r="L19" s="1">
        <v>42000</v>
      </c>
      <c r="M19" s="1">
        <v>0</v>
      </c>
      <c r="N19" s="1">
        <v>0</v>
      </c>
      <c r="O19" s="1"/>
      <c r="P19" s="1">
        <f t="shared" si="10"/>
        <v>15450</v>
      </c>
      <c r="Q19" s="1"/>
    </row>
    <row r="20" spans="1:17">
      <c r="A20" s="2">
        <v>45900</v>
      </c>
      <c r="B20" s="2" t="s">
        <v>64</v>
      </c>
      <c r="C20" s="2" t="s">
        <v>31</v>
      </c>
      <c r="D20" s="1">
        <v>15450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/>
      <c r="K20" s="1">
        <f t="shared" si="3"/>
        <v>0</v>
      </c>
      <c r="L20" s="1">
        <v>15450</v>
      </c>
      <c r="M20" s="1">
        <v>0</v>
      </c>
      <c r="N20" s="1">
        <v>0</v>
      </c>
      <c r="O20" s="1"/>
      <c r="P20" s="1">
        <f>SUM(D20-L20-N20)</f>
        <v>0</v>
      </c>
      <c r="Q20" s="1"/>
    </row>
    <row r="21" spans="1:17">
      <c r="A21" s="2">
        <v>45901</v>
      </c>
      <c r="B21" s="2" t="s">
        <v>65</v>
      </c>
      <c r="C21" s="3" t="s">
        <v>80</v>
      </c>
      <c r="D21" s="1">
        <v>260</v>
      </c>
      <c r="E21" s="1">
        <v>0</v>
      </c>
      <c r="F21" s="1">
        <v>7130</v>
      </c>
      <c r="G21" s="1">
        <f>(D21+F21)</f>
        <v>7390</v>
      </c>
      <c r="H21" s="1">
        <v>0</v>
      </c>
      <c r="I21" s="1">
        <v>0</v>
      </c>
      <c r="J21" s="1"/>
      <c r="K21" s="1">
        <f t="shared" ref="K21" si="17">(G21-H21-I21)</f>
        <v>7390</v>
      </c>
      <c r="L21" s="1">
        <v>0</v>
      </c>
      <c r="M21" s="1">
        <v>0</v>
      </c>
      <c r="N21" s="1">
        <v>7390</v>
      </c>
      <c r="O21" s="1"/>
      <c r="P21" s="1">
        <f t="shared" ref="P21" si="18">(K21-L21-M21-N21)</f>
        <v>0</v>
      </c>
      <c r="Q21" s="1"/>
    </row>
    <row r="22" spans="1:17">
      <c r="A22" s="2">
        <v>45899</v>
      </c>
      <c r="B22" s="2" t="s">
        <v>66</v>
      </c>
      <c r="C22" s="3" t="s">
        <v>32</v>
      </c>
      <c r="D22" s="1">
        <v>0</v>
      </c>
      <c r="E22" s="2" t="s">
        <v>33</v>
      </c>
      <c r="F22" s="1">
        <v>248840</v>
      </c>
      <c r="G22" s="4">
        <f>(F22-E22)</f>
        <v>246440</v>
      </c>
      <c r="H22" s="1">
        <v>0</v>
      </c>
      <c r="I22" s="1">
        <v>0</v>
      </c>
      <c r="J22" s="1"/>
      <c r="K22" s="1">
        <f t="shared" si="3"/>
        <v>246440</v>
      </c>
      <c r="L22" s="1">
        <v>246440</v>
      </c>
      <c r="M22" s="1">
        <v>0</v>
      </c>
      <c r="N22" s="1">
        <v>0</v>
      </c>
      <c r="O22" s="1"/>
      <c r="P22" s="1">
        <f t="shared" si="10"/>
        <v>0</v>
      </c>
      <c r="Q22" s="1"/>
    </row>
    <row r="23" spans="1:17" s="7" customFormat="1">
      <c r="A23" s="2">
        <v>45900</v>
      </c>
      <c r="B23" s="2" t="s">
        <v>67</v>
      </c>
      <c r="C23" s="3" t="s">
        <v>59</v>
      </c>
      <c r="D23" s="1">
        <v>680</v>
      </c>
      <c r="E23" s="1">
        <v>0</v>
      </c>
      <c r="F23" s="1">
        <v>134560</v>
      </c>
      <c r="G23" s="1">
        <f t="shared" ref="G23:G35" si="19">(D23+F23)</f>
        <v>135240</v>
      </c>
      <c r="H23" s="1">
        <v>750</v>
      </c>
      <c r="I23" s="1">
        <v>0</v>
      </c>
      <c r="J23" s="1"/>
      <c r="K23" s="1">
        <f t="shared" ref="K23:K28" si="20">(G23-H23-I23)</f>
        <v>134490</v>
      </c>
      <c r="L23" s="1">
        <v>0</v>
      </c>
      <c r="M23" s="1">
        <v>0</v>
      </c>
      <c r="N23" s="1">
        <v>50000</v>
      </c>
      <c r="O23" s="1" t="s">
        <v>25</v>
      </c>
      <c r="P23" s="1">
        <f t="shared" si="10"/>
        <v>84490</v>
      </c>
      <c r="Q23" s="1">
        <v>0</v>
      </c>
    </row>
    <row r="24" spans="1:17" s="7" customFormat="1">
      <c r="A24" s="2">
        <v>45900</v>
      </c>
      <c r="B24" s="2" t="s">
        <v>69</v>
      </c>
      <c r="C24" s="3" t="s">
        <v>59</v>
      </c>
      <c r="D24" s="1">
        <v>84490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/>
      <c r="K24" s="1">
        <f t="shared" ref="K24:K25" si="21">(G24-H24-I24)</f>
        <v>0</v>
      </c>
      <c r="L24" s="1">
        <v>0</v>
      </c>
      <c r="M24" s="1">
        <v>0</v>
      </c>
      <c r="N24" s="1">
        <v>40000</v>
      </c>
      <c r="O24" s="1" t="s">
        <v>40</v>
      </c>
      <c r="P24" s="1">
        <f t="shared" ref="P24:P26" si="22">SUM(D24-L24-N24)</f>
        <v>44490</v>
      </c>
      <c r="Q24" s="1">
        <v>0</v>
      </c>
    </row>
    <row r="25" spans="1:17" s="7" customFormat="1">
      <c r="A25" s="2">
        <v>45900</v>
      </c>
      <c r="B25" s="2" t="s">
        <v>85</v>
      </c>
      <c r="C25" s="3" t="s">
        <v>59</v>
      </c>
      <c r="D25" s="1">
        <v>44490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/>
      <c r="K25" s="1">
        <f t="shared" si="21"/>
        <v>0</v>
      </c>
      <c r="L25" s="1">
        <v>0</v>
      </c>
      <c r="M25" s="1">
        <v>0</v>
      </c>
      <c r="N25" s="1">
        <v>15000</v>
      </c>
      <c r="O25" s="1" t="s">
        <v>40</v>
      </c>
      <c r="P25" s="1">
        <f t="shared" si="22"/>
        <v>29490</v>
      </c>
      <c r="Q25" s="1">
        <v>0</v>
      </c>
    </row>
    <row r="26" spans="1:17" s="7" customFormat="1">
      <c r="A26" s="2">
        <v>45901</v>
      </c>
      <c r="B26" s="2" t="s">
        <v>86</v>
      </c>
      <c r="C26" s="3" t="s">
        <v>59</v>
      </c>
      <c r="D26" s="1">
        <v>29490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/>
      <c r="K26" s="1">
        <f t="shared" ref="K26" si="23">(G26-H26-I26)</f>
        <v>0</v>
      </c>
      <c r="L26" s="1">
        <v>0</v>
      </c>
      <c r="M26" s="1">
        <v>0</v>
      </c>
      <c r="N26" s="1">
        <v>29000</v>
      </c>
      <c r="O26" s="1" t="s">
        <v>25</v>
      </c>
      <c r="P26" s="1">
        <f t="shared" si="22"/>
        <v>490</v>
      </c>
      <c r="Q26" s="1">
        <v>0</v>
      </c>
    </row>
    <row r="27" spans="1:17">
      <c r="A27" s="2">
        <v>45899</v>
      </c>
      <c r="B27" s="2" t="s">
        <v>87</v>
      </c>
      <c r="C27" s="3" t="s">
        <v>34</v>
      </c>
      <c r="D27" s="1">
        <v>0</v>
      </c>
      <c r="E27" s="1">
        <v>0</v>
      </c>
      <c r="F27" s="1">
        <v>13450</v>
      </c>
      <c r="G27" s="1">
        <f t="shared" si="19"/>
        <v>13450</v>
      </c>
      <c r="H27" s="1">
        <v>120</v>
      </c>
      <c r="I27" s="1">
        <v>0</v>
      </c>
      <c r="J27" s="1"/>
      <c r="K27" s="1">
        <f t="shared" si="20"/>
        <v>13330</v>
      </c>
      <c r="L27" s="1">
        <v>13350</v>
      </c>
      <c r="M27" s="1">
        <v>0</v>
      </c>
      <c r="N27" s="1">
        <v>0</v>
      </c>
      <c r="O27" s="1"/>
      <c r="P27" s="1">
        <v>0</v>
      </c>
      <c r="Q27" s="1">
        <v>20</v>
      </c>
    </row>
    <row r="28" spans="1:17">
      <c r="A28" s="2">
        <v>45899</v>
      </c>
      <c r="B28" s="2" t="s">
        <v>88</v>
      </c>
      <c r="C28" s="3" t="s">
        <v>60</v>
      </c>
      <c r="D28" s="1">
        <v>33210</v>
      </c>
      <c r="E28" s="1">
        <v>0</v>
      </c>
      <c r="F28" s="1">
        <v>0</v>
      </c>
      <c r="G28" s="1">
        <f t="shared" si="19"/>
        <v>33210</v>
      </c>
      <c r="H28" s="1">
        <v>0</v>
      </c>
      <c r="I28" s="1">
        <v>0</v>
      </c>
      <c r="J28" s="1"/>
      <c r="K28" s="1">
        <f t="shared" si="20"/>
        <v>33210</v>
      </c>
      <c r="L28" s="1">
        <v>0</v>
      </c>
      <c r="M28" s="1">
        <v>0</v>
      </c>
      <c r="N28" s="1">
        <v>50000</v>
      </c>
      <c r="O28" s="1" t="s">
        <v>25</v>
      </c>
      <c r="P28" s="1">
        <v>0</v>
      </c>
      <c r="Q28" s="1">
        <v>16790</v>
      </c>
    </row>
    <row r="29" spans="1:17">
      <c r="A29" s="2">
        <v>45899</v>
      </c>
      <c r="B29" s="2" t="s">
        <v>89</v>
      </c>
      <c r="C29" s="3" t="s">
        <v>39</v>
      </c>
      <c r="D29" s="1">
        <v>0</v>
      </c>
      <c r="E29" s="1">
        <v>0</v>
      </c>
      <c r="F29" s="1">
        <v>65950</v>
      </c>
      <c r="G29" s="1">
        <f t="shared" si="19"/>
        <v>65950</v>
      </c>
      <c r="H29" s="1">
        <v>400</v>
      </c>
      <c r="I29" s="1">
        <v>0</v>
      </c>
      <c r="J29" s="1"/>
      <c r="K29" s="1">
        <f t="shared" ref="K29:K39" si="24">(G29-H29-I29)</f>
        <v>65550</v>
      </c>
      <c r="L29" s="1">
        <v>44000</v>
      </c>
      <c r="M29" s="1">
        <v>0</v>
      </c>
      <c r="N29" s="1">
        <v>9000</v>
      </c>
      <c r="O29" s="1" t="s">
        <v>40</v>
      </c>
      <c r="P29" s="1">
        <f t="shared" si="10"/>
        <v>12550</v>
      </c>
      <c r="Q29" s="1"/>
    </row>
    <row r="30" spans="1:17">
      <c r="A30" s="2">
        <v>45900</v>
      </c>
      <c r="B30" s="2" t="s">
        <v>90</v>
      </c>
      <c r="C30" s="3" t="s">
        <v>39</v>
      </c>
      <c r="D30" s="1">
        <v>12550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/>
      <c r="K30" s="1">
        <f t="shared" si="24"/>
        <v>0</v>
      </c>
      <c r="L30" s="1">
        <v>12550</v>
      </c>
      <c r="M30" s="1">
        <v>0</v>
      </c>
      <c r="N30" s="1">
        <v>0</v>
      </c>
      <c r="O30" s="1"/>
      <c r="P30" s="1">
        <f t="shared" ref="P30" si="25">SUM(D30-L30-N30)</f>
        <v>0</v>
      </c>
      <c r="Q30" s="1"/>
    </row>
    <row r="31" spans="1:17">
      <c r="A31" s="2">
        <v>45900</v>
      </c>
      <c r="B31" s="2" t="s">
        <v>91</v>
      </c>
      <c r="C31" s="3" t="s">
        <v>71</v>
      </c>
      <c r="D31" s="1">
        <v>20</v>
      </c>
      <c r="E31" s="1">
        <v>0</v>
      </c>
      <c r="F31" s="1">
        <v>14820</v>
      </c>
      <c r="G31" s="1">
        <f t="shared" si="19"/>
        <v>14840</v>
      </c>
      <c r="H31" s="1">
        <v>40</v>
      </c>
      <c r="I31" s="1">
        <v>0</v>
      </c>
      <c r="J31" s="1"/>
      <c r="K31" s="1">
        <f t="shared" si="24"/>
        <v>14800</v>
      </c>
      <c r="L31" s="1">
        <v>0</v>
      </c>
      <c r="M31" s="1">
        <v>0</v>
      </c>
      <c r="N31" s="1">
        <v>14800</v>
      </c>
      <c r="O31" s="1" t="s">
        <v>25</v>
      </c>
      <c r="P31" s="1">
        <f t="shared" si="10"/>
        <v>0</v>
      </c>
      <c r="Q31" s="1"/>
    </row>
    <row r="32" spans="1:17">
      <c r="A32" s="2">
        <v>45899</v>
      </c>
      <c r="B32" s="2" t="s">
        <v>92</v>
      </c>
      <c r="C32" s="3" t="s">
        <v>41</v>
      </c>
      <c r="D32" s="1">
        <v>0</v>
      </c>
      <c r="E32" s="1">
        <v>0</v>
      </c>
      <c r="F32" s="1">
        <v>114770</v>
      </c>
      <c r="G32" s="1">
        <f t="shared" si="19"/>
        <v>114770</v>
      </c>
      <c r="H32" s="1">
        <v>0</v>
      </c>
      <c r="I32" s="1">
        <v>5160</v>
      </c>
      <c r="J32" s="1"/>
      <c r="K32" s="1">
        <f t="shared" si="24"/>
        <v>109610</v>
      </c>
      <c r="L32" s="1">
        <v>10000</v>
      </c>
      <c r="M32" s="1">
        <v>75000</v>
      </c>
      <c r="N32" s="1">
        <v>24610</v>
      </c>
      <c r="O32" s="1" t="s">
        <v>40</v>
      </c>
      <c r="P32" s="1">
        <f t="shared" si="10"/>
        <v>0</v>
      </c>
      <c r="Q32" s="1"/>
    </row>
    <row r="33" spans="1:17">
      <c r="A33" s="2">
        <v>45900</v>
      </c>
      <c r="B33" s="2" t="s">
        <v>93</v>
      </c>
      <c r="C33" s="3" t="s">
        <v>56</v>
      </c>
      <c r="D33" s="1">
        <v>290</v>
      </c>
      <c r="E33" s="1">
        <v>0</v>
      </c>
      <c r="F33" s="1">
        <v>10830</v>
      </c>
      <c r="G33" s="1">
        <f t="shared" si="19"/>
        <v>11120</v>
      </c>
      <c r="H33" s="1">
        <v>100</v>
      </c>
      <c r="I33" s="1">
        <v>0</v>
      </c>
      <c r="J33" s="1"/>
      <c r="K33" s="1">
        <f t="shared" si="24"/>
        <v>11020</v>
      </c>
      <c r="L33" s="1">
        <v>0</v>
      </c>
      <c r="M33" s="1">
        <v>0</v>
      </c>
      <c r="N33" s="1">
        <v>10730</v>
      </c>
      <c r="O33" s="1" t="s">
        <v>40</v>
      </c>
      <c r="P33" s="1">
        <f t="shared" si="10"/>
        <v>290</v>
      </c>
      <c r="Q33" s="1">
        <v>10</v>
      </c>
    </row>
    <row r="34" spans="1:17">
      <c r="A34" s="2">
        <v>45901</v>
      </c>
      <c r="B34" s="2" t="s">
        <v>94</v>
      </c>
      <c r="C34" s="3" t="s">
        <v>81</v>
      </c>
      <c r="D34" s="1">
        <v>2440</v>
      </c>
      <c r="E34" s="1">
        <v>0</v>
      </c>
      <c r="F34" s="1">
        <v>77150</v>
      </c>
      <c r="G34" s="1">
        <f t="shared" ref="G34" si="26">(D34+F34)</f>
        <v>79590</v>
      </c>
      <c r="H34" s="1">
        <v>460</v>
      </c>
      <c r="I34" s="1">
        <v>0</v>
      </c>
      <c r="J34" s="1"/>
      <c r="K34" s="1">
        <f t="shared" si="24"/>
        <v>79130</v>
      </c>
      <c r="L34" s="1">
        <v>49000</v>
      </c>
      <c r="M34" s="1">
        <v>0</v>
      </c>
      <c r="N34" s="1">
        <v>30130</v>
      </c>
      <c r="O34" s="1" t="s">
        <v>25</v>
      </c>
      <c r="P34" s="1">
        <f t="shared" ref="P34" si="27">(K34-L34-M34-N34)</f>
        <v>0</v>
      </c>
      <c r="Q34" s="1">
        <v>0</v>
      </c>
    </row>
    <row r="35" spans="1:17">
      <c r="A35" s="2">
        <v>45899</v>
      </c>
      <c r="B35" s="2" t="s">
        <v>95</v>
      </c>
      <c r="C35" s="3" t="s">
        <v>42</v>
      </c>
      <c r="D35" s="1">
        <v>0</v>
      </c>
      <c r="E35" s="1">
        <v>0</v>
      </c>
      <c r="F35" s="1">
        <v>51700</v>
      </c>
      <c r="G35" s="1">
        <f t="shared" si="19"/>
        <v>51700</v>
      </c>
      <c r="H35" s="1">
        <v>0</v>
      </c>
      <c r="I35" s="1">
        <v>0</v>
      </c>
      <c r="J35" s="1"/>
      <c r="K35" s="1">
        <f t="shared" si="24"/>
        <v>51700</v>
      </c>
      <c r="L35" s="1">
        <v>0</v>
      </c>
      <c r="M35" s="1">
        <v>0</v>
      </c>
      <c r="N35" s="1">
        <v>51700</v>
      </c>
      <c r="O35" s="1" t="s">
        <v>25</v>
      </c>
      <c r="P35" s="1">
        <f t="shared" si="10"/>
        <v>0</v>
      </c>
      <c r="Q35" s="1"/>
    </row>
    <row r="36" spans="1:17">
      <c r="A36" s="2">
        <v>45899</v>
      </c>
      <c r="B36" s="2" t="s">
        <v>96</v>
      </c>
      <c r="C36" s="3" t="s">
        <v>43</v>
      </c>
      <c r="D36" s="1">
        <v>0</v>
      </c>
      <c r="E36" s="1">
        <v>0</v>
      </c>
      <c r="F36" s="1">
        <v>13970</v>
      </c>
      <c r="G36" s="4">
        <f>(F36-E36)</f>
        <v>13970</v>
      </c>
      <c r="H36" s="1">
        <v>100</v>
      </c>
      <c r="I36" s="1">
        <v>0</v>
      </c>
      <c r="J36" s="1"/>
      <c r="K36" s="1">
        <f t="shared" si="24"/>
        <v>13870</v>
      </c>
      <c r="L36" s="1">
        <v>0</v>
      </c>
      <c r="M36" s="1">
        <v>0</v>
      </c>
      <c r="N36" s="1">
        <v>13870</v>
      </c>
      <c r="O36" s="1" t="s">
        <v>25</v>
      </c>
      <c r="P36" s="1">
        <f t="shared" si="10"/>
        <v>0</v>
      </c>
      <c r="Q36" s="1"/>
    </row>
    <row r="37" spans="1:17">
      <c r="A37" s="2">
        <v>45899</v>
      </c>
      <c r="B37" s="2" t="s">
        <v>97</v>
      </c>
      <c r="C37" s="3" t="s">
        <v>44</v>
      </c>
      <c r="D37" s="1">
        <v>0</v>
      </c>
      <c r="E37" s="1">
        <v>0</v>
      </c>
      <c r="F37" s="1">
        <v>28230</v>
      </c>
      <c r="G37" s="1">
        <f>(D37+F37)</f>
        <v>28230</v>
      </c>
      <c r="H37" s="1">
        <v>200</v>
      </c>
      <c r="I37" s="1">
        <v>0</v>
      </c>
      <c r="J37" s="1">
        <v>4100</v>
      </c>
      <c r="K37" s="1">
        <f>(G37-H37-I37-J37)</f>
        <v>23930</v>
      </c>
      <c r="L37" s="1">
        <v>0</v>
      </c>
      <c r="M37" s="1">
        <v>0</v>
      </c>
      <c r="N37" s="1">
        <v>23900</v>
      </c>
      <c r="O37" s="1" t="s">
        <v>25</v>
      </c>
      <c r="P37" s="1">
        <f t="shared" si="10"/>
        <v>30</v>
      </c>
      <c r="Q37" s="1"/>
    </row>
    <row r="38" spans="1:17">
      <c r="A38" s="2">
        <v>45900</v>
      </c>
      <c r="B38" s="2" t="s">
        <v>98</v>
      </c>
      <c r="C38" s="3" t="s">
        <v>57</v>
      </c>
      <c r="D38" s="1">
        <v>190</v>
      </c>
      <c r="E38" s="1">
        <v>0</v>
      </c>
      <c r="F38" s="1">
        <v>52840</v>
      </c>
      <c r="G38" s="1">
        <f t="shared" ref="G38" si="28">(D38+F38)</f>
        <v>53030</v>
      </c>
      <c r="H38" s="1">
        <v>450</v>
      </c>
      <c r="I38" s="1">
        <v>0</v>
      </c>
      <c r="J38" s="1"/>
      <c r="K38" s="1">
        <f t="shared" si="24"/>
        <v>52580</v>
      </c>
      <c r="L38" s="1">
        <v>0</v>
      </c>
      <c r="M38" s="1">
        <v>0</v>
      </c>
      <c r="N38" s="1">
        <v>40000</v>
      </c>
      <c r="O38" s="1" t="s">
        <v>25</v>
      </c>
      <c r="P38" s="1">
        <f t="shared" si="10"/>
        <v>12580</v>
      </c>
      <c r="Q38" s="1"/>
    </row>
    <row r="39" spans="1:17">
      <c r="A39" s="2">
        <v>45900</v>
      </c>
      <c r="B39" s="2" t="s">
        <v>99</v>
      </c>
      <c r="C39" s="3" t="s">
        <v>57</v>
      </c>
      <c r="D39" s="1">
        <v>12580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/>
      <c r="K39" s="1">
        <f t="shared" si="24"/>
        <v>0</v>
      </c>
      <c r="L39" s="1">
        <v>0</v>
      </c>
      <c r="M39" s="1">
        <v>0</v>
      </c>
      <c r="N39" s="1">
        <v>12580</v>
      </c>
      <c r="O39" s="1" t="s">
        <v>40</v>
      </c>
      <c r="P39" s="1">
        <f t="shared" ref="P39:P41" si="29">SUM(D39-L39-N39)</f>
        <v>0</v>
      </c>
      <c r="Q39" s="1"/>
    </row>
    <row r="40" spans="1:17">
      <c r="A40" s="2">
        <v>45899</v>
      </c>
      <c r="B40" s="2" t="s">
        <v>100</v>
      </c>
      <c r="C40" s="3" t="s">
        <v>46</v>
      </c>
      <c r="D40" s="1">
        <v>0</v>
      </c>
      <c r="E40" s="1">
        <v>0</v>
      </c>
      <c r="F40" s="1">
        <v>222960</v>
      </c>
      <c r="G40" s="1">
        <f>(D40+F40)</f>
        <v>222960</v>
      </c>
      <c r="H40" s="1">
        <v>2200</v>
      </c>
      <c r="I40" s="1">
        <v>0</v>
      </c>
      <c r="J40" s="1"/>
      <c r="K40" s="1">
        <f t="shared" ref="K40:K43" si="30">(G40-H40-I40)</f>
        <v>220760</v>
      </c>
      <c r="L40" s="1">
        <v>130000</v>
      </c>
      <c r="M40" s="1">
        <v>0</v>
      </c>
      <c r="N40" s="1">
        <v>0</v>
      </c>
      <c r="O40" s="1"/>
      <c r="P40" s="1">
        <f t="shared" si="10"/>
        <v>90760</v>
      </c>
      <c r="Q40" s="1"/>
    </row>
    <row r="41" spans="1:17">
      <c r="A41" s="2">
        <v>45903</v>
      </c>
      <c r="B41" s="2" t="s">
        <v>101</v>
      </c>
      <c r="C41" s="3" t="s">
        <v>46</v>
      </c>
      <c r="D41" s="1">
        <v>90760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/>
      <c r="K41" s="1">
        <f t="shared" ref="K41" si="31">(G41-H41-I41)</f>
        <v>0</v>
      </c>
      <c r="L41" s="1">
        <v>0</v>
      </c>
      <c r="M41" s="1">
        <v>0</v>
      </c>
      <c r="N41" s="1">
        <v>40000</v>
      </c>
      <c r="O41" s="1" t="s">
        <v>25</v>
      </c>
      <c r="P41" s="1">
        <f t="shared" si="29"/>
        <v>50760</v>
      </c>
      <c r="Q41" s="1"/>
    </row>
    <row r="42" spans="1:17">
      <c r="A42" s="2">
        <v>45899</v>
      </c>
      <c r="B42" s="2" t="s">
        <v>102</v>
      </c>
      <c r="C42" s="3" t="s">
        <v>47</v>
      </c>
      <c r="D42" s="1">
        <v>2030</v>
      </c>
      <c r="E42" s="1">
        <v>0</v>
      </c>
      <c r="F42" s="1">
        <v>117190</v>
      </c>
      <c r="G42" s="1">
        <f t="shared" ref="G42" si="32">(D42+F42)</f>
        <v>119220</v>
      </c>
      <c r="H42" s="1">
        <v>960</v>
      </c>
      <c r="I42" s="1">
        <v>5140</v>
      </c>
      <c r="J42" s="1"/>
      <c r="K42" s="1">
        <f t="shared" si="30"/>
        <v>113120</v>
      </c>
      <c r="L42" s="1">
        <v>113000</v>
      </c>
      <c r="M42" s="1">
        <v>0</v>
      </c>
      <c r="N42" s="1">
        <v>0</v>
      </c>
      <c r="O42" s="1"/>
      <c r="P42" s="1">
        <f t="shared" si="10"/>
        <v>120</v>
      </c>
      <c r="Q42" s="1"/>
    </row>
    <row r="43" spans="1:17">
      <c r="A43" s="2">
        <v>45900</v>
      </c>
      <c r="B43" s="2" t="s">
        <v>103</v>
      </c>
      <c r="C43" s="3" t="s">
        <v>55</v>
      </c>
      <c r="D43" s="1"/>
      <c r="E43" s="1">
        <v>110</v>
      </c>
      <c r="F43" s="1">
        <v>105620</v>
      </c>
      <c r="G43" s="4">
        <f>(F43-E43)</f>
        <v>105510</v>
      </c>
      <c r="H43" s="1">
        <v>860</v>
      </c>
      <c r="I43" s="1">
        <v>4540</v>
      </c>
      <c r="J43" s="1"/>
      <c r="K43" s="1">
        <f t="shared" si="30"/>
        <v>100110</v>
      </c>
      <c r="L43" s="1">
        <v>90000</v>
      </c>
      <c r="M43" s="1">
        <v>0</v>
      </c>
      <c r="N43" s="1">
        <v>3860</v>
      </c>
      <c r="O43" s="1" t="s">
        <v>40</v>
      </c>
      <c r="P43" s="1">
        <f t="shared" si="10"/>
        <v>6250</v>
      </c>
      <c r="Q43" s="1"/>
    </row>
    <row r="44" spans="1:17">
      <c r="A44" s="2">
        <v>45900</v>
      </c>
      <c r="B44" s="2" t="s">
        <v>104</v>
      </c>
      <c r="C44" s="3" t="s">
        <v>55</v>
      </c>
      <c r="D44" s="1">
        <v>6250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/>
      <c r="K44" s="1">
        <f t="shared" ref="K44" si="33">(G44-H44-I44)</f>
        <v>0</v>
      </c>
      <c r="L44" s="1">
        <v>6250</v>
      </c>
      <c r="M44" s="1">
        <v>0</v>
      </c>
      <c r="N44" s="1">
        <v>0</v>
      </c>
      <c r="O44" s="1"/>
      <c r="P44" s="1">
        <f t="shared" ref="P44" si="34">SUM(D44-L44-N44)</f>
        <v>0</v>
      </c>
      <c r="Q44" s="1"/>
    </row>
    <row r="45" spans="1:17">
      <c r="A45" s="2">
        <v>45901</v>
      </c>
      <c r="B45" s="2" t="s">
        <v>105</v>
      </c>
      <c r="C45" s="3" t="s">
        <v>84</v>
      </c>
      <c r="D45" s="1">
        <v>0</v>
      </c>
      <c r="E45" s="1">
        <v>0</v>
      </c>
      <c r="F45" s="1">
        <v>153700</v>
      </c>
      <c r="G45" s="1">
        <f t="shared" ref="G45" si="35">(D45+F45)</f>
        <v>153700</v>
      </c>
      <c r="H45" s="1">
        <v>0</v>
      </c>
      <c r="I45" s="1">
        <v>0</v>
      </c>
      <c r="J45" s="1"/>
      <c r="K45" s="1">
        <f t="shared" ref="K45" si="36">(G45-H45-I45)</f>
        <v>153700</v>
      </c>
      <c r="L45" s="1">
        <v>0</v>
      </c>
      <c r="M45" s="1">
        <v>0</v>
      </c>
      <c r="N45" s="1">
        <v>0</v>
      </c>
      <c r="O45" s="1"/>
      <c r="P45" s="1">
        <f t="shared" ref="P45" si="37">(K45-L45-M45-N45)</f>
        <v>153700</v>
      </c>
      <c r="Q45" s="1"/>
    </row>
    <row r="46" spans="1:17">
      <c r="A46" s="2">
        <v>45899</v>
      </c>
      <c r="B46" s="2" t="s">
        <v>106</v>
      </c>
      <c r="C46" s="3" t="s">
        <v>48</v>
      </c>
      <c r="D46" s="1">
        <v>590</v>
      </c>
      <c r="E46" s="1">
        <v>0</v>
      </c>
      <c r="F46" s="1">
        <v>109530</v>
      </c>
      <c r="G46" s="1">
        <f t="shared" ref="G46:G51" si="38">(D46+F46)</f>
        <v>110120</v>
      </c>
      <c r="H46" s="1">
        <v>0</v>
      </c>
      <c r="I46" s="1">
        <v>4600</v>
      </c>
      <c r="J46" s="1"/>
      <c r="K46" s="1">
        <f t="shared" ref="K46:K53" si="39">(G46-H46-I46)</f>
        <v>105520</v>
      </c>
      <c r="L46" s="1">
        <v>61200</v>
      </c>
      <c r="M46" s="1">
        <v>38800</v>
      </c>
      <c r="N46" s="1">
        <v>0</v>
      </c>
      <c r="O46" s="1"/>
      <c r="P46" s="1">
        <f t="shared" ref="P46:P49" si="40">(K46-L46-M46-N46)</f>
        <v>5520</v>
      </c>
      <c r="Q46" s="1"/>
    </row>
    <row r="47" spans="1:17">
      <c r="A47" s="2">
        <v>45901</v>
      </c>
      <c r="B47" s="2" t="s">
        <v>107</v>
      </c>
      <c r="C47" s="3" t="s">
        <v>82</v>
      </c>
      <c r="D47" s="1">
        <v>0</v>
      </c>
      <c r="E47" s="1">
        <v>190</v>
      </c>
      <c r="F47" s="1">
        <v>26570</v>
      </c>
      <c r="G47" s="4">
        <f>(F47-E47)</f>
        <v>26380</v>
      </c>
      <c r="H47" s="1">
        <v>230</v>
      </c>
      <c r="I47" s="1">
        <v>0</v>
      </c>
      <c r="J47" s="1"/>
      <c r="K47" s="1">
        <f t="shared" ref="K47:K48" si="41">(G47-H47-I47)</f>
        <v>26150</v>
      </c>
      <c r="L47" s="1">
        <v>15000</v>
      </c>
      <c r="M47" s="1">
        <v>0</v>
      </c>
      <c r="N47" s="1">
        <v>5000</v>
      </c>
      <c r="O47" s="1" t="s">
        <v>40</v>
      </c>
      <c r="P47" s="1">
        <f t="shared" ref="P47" si="42">(K47-L47-M47-N47)</f>
        <v>6150</v>
      </c>
      <c r="Q47" s="1"/>
    </row>
    <row r="48" spans="1:17">
      <c r="A48" s="2">
        <v>45901</v>
      </c>
      <c r="B48" s="2" t="s">
        <v>108</v>
      </c>
      <c r="C48" s="3" t="s">
        <v>83</v>
      </c>
      <c r="D48" s="1">
        <v>30</v>
      </c>
      <c r="E48" s="1">
        <v>0</v>
      </c>
      <c r="F48" s="1">
        <v>14310</v>
      </c>
      <c r="G48" s="1">
        <f t="shared" si="38"/>
        <v>14340</v>
      </c>
      <c r="H48" s="1">
        <v>100</v>
      </c>
      <c r="I48" s="1">
        <v>0</v>
      </c>
      <c r="J48" s="1"/>
      <c r="K48" s="1">
        <f t="shared" si="41"/>
        <v>14240</v>
      </c>
      <c r="L48" s="1">
        <v>14240</v>
      </c>
      <c r="M48" s="1">
        <v>0</v>
      </c>
      <c r="N48" s="1">
        <v>0</v>
      </c>
      <c r="O48" s="1"/>
      <c r="P48" s="1">
        <f t="shared" ref="P48" si="43">(K48-L48-M48-N48)</f>
        <v>0</v>
      </c>
      <c r="Q48" s="1"/>
    </row>
    <row r="49" spans="1:17">
      <c r="A49" s="2">
        <v>45899</v>
      </c>
      <c r="B49" s="2" t="s">
        <v>109</v>
      </c>
      <c r="C49" s="3" t="s">
        <v>53</v>
      </c>
      <c r="D49" s="1">
        <v>376630</v>
      </c>
      <c r="E49" s="1">
        <v>0</v>
      </c>
      <c r="F49" s="1">
        <v>0</v>
      </c>
      <c r="G49" s="1">
        <f t="shared" si="38"/>
        <v>376630</v>
      </c>
      <c r="H49" s="1">
        <v>0</v>
      </c>
      <c r="I49" s="1">
        <v>0</v>
      </c>
      <c r="J49" s="1"/>
      <c r="K49" s="1">
        <f t="shared" si="39"/>
        <v>376630</v>
      </c>
      <c r="L49" s="1">
        <v>100000</v>
      </c>
      <c r="M49" s="1">
        <v>0</v>
      </c>
      <c r="N49" s="1">
        <v>0</v>
      </c>
      <c r="O49" s="1">
        <v>0</v>
      </c>
      <c r="P49" s="1">
        <f t="shared" si="40"/>
        <v>276630</v>
      </c>
      <c r="Q49" s="1"/>
    </row>
    <row r="50" spans="1:17">
      <c r="A50" s="2">
        <v>45900</v>
      </c>
      <c r="B50" s="2" t="s">
        <v>114</v>
      </c>
      <c r="C50" s="2" t="s">
        <v>78</v>
      </c>
      <c r="D50" s="1">
        <v>0</v>
      </c>
      <c r="E50" s="1">
        <v>0</v>
      </c>
      <c r="F50" s="1">
        <v>4870</v>
      </c>
      <c r="G50" s="1">
        <f t="shared" ref="G50" si="44">(D50+F50)</f>
        <v>4870</v>
      </c>
      <c r="H50" s="1">
        <v>60</v>
      </c>
      <c r="I50" s="1">
        <v>0</v>
      </c>
      <c r="J50" s="1"/>
      <c r="K50" s="1">
        <f t="shared" ref="K50" si="45">(G50-H50-I50)</f>
        <v>4810</v>
      </c>
      <c r="L50" s="1">
        <v>0</v>
      </c>
      <c r="M50" s="1">
        <v>0</v>
      </c>
      <c r="N50" s="1">
        <v>0</v>
      </c>
      <c r="O50" s="1"/>
      <c r="P50" s="1">
        <f>(K50-L50-M50-N50)</f>
        <v>4810</v>
      </c>
      <c r="Q50" s="1"/>
    </row>
    <row r="51" spans="1:17">
      <c r="A51" s="2">
        <v>45900</v>
      </c>
      <c r="B51" s="2" t="s">
        <v>115</v>
      </c>
      <c r="C51" s="2" t="s">
        <v>54</v>
      </c>
      <c r="D51" s="1">
        <v>0</v>
      </c>
      <c r="E51" s="1">
        <v>0</v>
      </c>
      <c r="F51" s="1">
        <v>79750</v>
      </c>
      <c r="G51" s="1">
        <f t="shared" si="38"/>
        <v>79750</v>
      </c>
      <c r="H51" s="1">
        <v>500</v>
      </c>
      <c r="I51" s="1">
        <v>0</v>
      </c>
      <c r="J51" s="1"/>
      <c r="K51" s="1">
        <f t="shared" si="39"/>
        <v>79250</v>
      </c>
      <c r="L51" s="1">
        <v>40250</v>
      </c>
      <c r="M51" s="1">
        <v>0</v>
      </c>
      <c r="N51" s="1">
        <v>39000</v>
      </c>
      <c r="O51" s="1" t="s">
        <v>40</v>
      </c>
      <c r="P51" s="1">
        <f>(K51-L51-M51-N51)</f>
        <v>0</v>
      </c>
      <c r="Q51" s="1"/>
    </row>
    <row r="52" spans="1:17">
      <c r="A52" s="2">
        <v>45900</v>
      </c>
      <c r="B52" s="2" t="s">
        <v>116</v>
      </c>
      <c r="C52" s="3" t="s">
        <v>70</v>
      </c>
      <c r="D52" s="1">
        <v>0</v>
      </c>
      <c r="E52" s="1">
        <v>0</v>
      </c>
      <c r="F52" s="1">
        <v>162070</v>
      </c>
      <c r="G52" s="1">
        <f t="shared" ref="G52" si="46">(D52+F52)</f>
        <v>162070</v>
      </c>
      <c r="H52" s="1">
        <v>1550</v>
      </c>
      <c r="I52" s="1">
        <v>0</v>
      </c>
      <c r="J52" s="1"/>
      <c r="K52" s="1">
        <f t="shared" ref="K52" si="47">(G52-H52-I52)</f>
        <v>160520</v>
      </c>
      <c r="L52" s="1">
        <v>110000</v>
      </c>
      <c r="M52" s="1">
        <v>0</v>
      </c>
      <c r="N52" s="1">
        <v>38590</v>
      </c>
      <c r="O52" s="1" t="s">
        <v>40</v>
      </c>
      <c r="P52" s="1">
        <f t="shared" ref="P52" si="48">(K52-L52-M52-N52)</f>
        <v>11930</v>
      </c>
      <c r="Q52" s="1">
        <v>0</v>
      </c>
    </row>
    <row r="53" spans="1:17">
      <c r="A53" s="2">
        <v>45902</v>
      </c>
      <c r="B53" s="2" t="s">
        <v>117</v>
      </c>
      <c r="C53" s="3" t="s">
        <v>70</v>
      </c>
      <c r="D53" s="1">
        <v>11930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/>
      <c r="K53" s="1">
        <f t="shared" si="39"/>
        <v>0</v>
      </c>
      <c r="L53" s="1">
        <v>10000</v>
      </c>
      <c r="M53" s="1">
        <v>0</v>
      </c>
      <c r="N53" s="1">
        <v>0</v>
      </c>
      <c r="O53" s="1"/>
      <c r="P53" s="1">
        <f t="shared" ref="P53" si="49">(K53-L53-M53-N53)</f>
        <v>-10000</v>
      </c>
      <c r="Q53" s="1">
        <v>0</v>
      </c>
    </row>
    <row r="54" spans="1:17">
      <c r="A54" s="2"/>
      <c r="B54" s="2"/>
      <c r="C54" s="3" t="s">
        <v>49</v>
      </c>
      <c r="D54" s="1"/>
      <c r="E54" s="1"/>
      <c r="F54" s="1"/>
      <c r="G54" s="1">
        <f t="shared" ref="G54:K54" si="50">SUM(G4:G53)</f>
        <v>2906820</v>
      </c>
      <c r="H54" s="1">
        <f t="shared" si="50"/>
        <v>12350</v>
      </c>
      <c r="I54" s="1">
        <f t="shared" si="50"/>
        <v>49530</v>
      </c>
      <c r="J54" s="1"/>
      <c r="K54" s="1">
        <f t="shared" si="50"/>
        <v>2840840</v>
      </c>
      <c r="L54" s="1">
        <f>SUM(L4:L53)</f>
        <v>1290880</v>
      </c>
      <c r="M54" s="1">
        <f>SUM(M4:M53)</f>
        <v>113800</v>
      </c>
      <c r="N54" s="1">
        <f>SUM(N4:N53)</f>
        <v>741540</v>
      </c>
      <c r="O54" s="1"/>
      <c r="P54" s="1">
        <f>SUM(P4:P53)</f>
        <v>1047920</v>
      </c>
      <c r="Q54" s="1">
        <f>SUM(Q4:Q53)</f>
        <v>16870</v>
      </c>
    </row>
    <row r="56" spans="1:17" ht="18.75">
      <c r="C56" s="14" t="s">
        <v>111</v>
      </c>
      <c r="D56" s="15"/>
      <c r="E56" s="15"/>
    </row>
    <row r="57" spans="1:17">
      <c r="A57" s="5"/>
      <c r="C57" s="3" t="s">
        <v>50</v>
      </c>
      <c r="D57" s="1">
        <v>1290880</v>
      </c>
      <c r="E57" s="1"/>
      <c r="K57" s="10"/>
      <c r="L57" s="10"/>
      <c r="N57">
        <v>7390</v>
      </c>
    </row>
    <row r="58" spans="1:17">
      <c r="C58" s="3" t="s">
        <v>51</v>
      </c>
      <c r="D58" s="1">
        <v>0</v>
      </c>
      <c r="E58" s="1">
        <v>528780</v>
      </c>
      <c r="K58" s="10"/>
      <c r="L58" s="10"/>
      <c r="N58">
        <v>520780</v>
      </c>
    </row>
    <row r="59" spans="1:17">
      <c r="C59" s="3" t="s">
        <v>73</v>
      </c>
      <c r="D59" s="1">
        <v>0</v>
      </c>
      <c r="E59" s="1">
        <v>213370</v>
      </c>
      <c r="K59" s="10"/>
      <c r="L59" s="10"/>
      <c r="N59">
        <f>SUM(N57:N58)</f>
        <v>528170</v>
      </c>
    </row>
    <row r="60" spans="1:17">
      <c r="C60" s="3" t="s">
        <v>52</v>
      </c>
      <c r="D60" s="1">
        <v>0</v>
      </c>
      <c r="E60" s="1">
        <v>113800</v>
      </c>
      <c r="K60" s="10"/>
      <c r="L60" s="10"/>
    </row>
    <row r="61" spans="1:17">
      <c r="C61" s="3" t="s">
        <v>49</v>
      </c>
      <c r="D61" s="1">
        <f>(D57+D58+D59+D60)</f>
        <v>1290880</v>
      </c>
      <c r="E61" s="1">
        <f>(E57+E58+E59+E60)</f>
        <v>855950</v>
      </c>
      <c r="K61" s="10"/>
      <c r="L61" s="10"/>
    </row>
    <row r="62" spans="1:17">
      <c r="K62" s="10"/>
      <c r="L62" s="10"/>
    </row>
    <row r="63" spans="1:17">
      <c r="C63" s="3" t="s">
        <v>50</v>
      </c>
      <c r="D63" s="1">
        <v>1290880</v>
      </c>
      <c r="K63" s="10"/>
      <c r="L63" s="10"/>
    </row>
    <row r="64" spans="1:17">
      <c r="C64" s="3" t="s">
        <v>51</v>
      </c>
      <c r="D64" s="1">
        <v>528780</v>
      </c>
      <c r="K64" s="10"/>
      <c r="L64" s="10"/>
    </row>
    <row r="65" spans="3:12">
      <c r="C65" s="3" t="s">
        <v>112</v>
      </c>
      <c r="D65" s="1">
        <v>213370</v>
      </c>
      <c r="K65" s="10"/>
      <c r="L65" s="10"/>
    </row>
    <row r="66" spans="3:12">
      <c r="C66" s="3" t="s">
        <v>113</v>
      </c>
      <c r="D66" s="1">
        <v>113800</v>
      </c>
      <c r="K66" s="10"/>
      <c r="L66" s="10"/>
    </row>
    <row r="67" spans="3:12">
      <c r="C67" s="3" t="s">
        <v>49</v>
      </c>
      <c r="D67" s="1">
        <f>SUM(D63:D66)</f>
        <v>2146830</v>
      </c>
      <c r="K67" s="10"/>
      <c r="L67" s="10"/>
    </row>
    <row r="68" spans="3:12">
      <c r="K68" s="10"/>
      <c r="L68" s="10"/>
    </row>
    <row r="69" spans="3:12">
      <c r="K69" s="10"/>
      <c r="L69" s="10"/>
    </row>
    <row r="70" spans="3:12">
      <c r="K70" s="10"/>
      <c r="L70" s="10"/>
    </row>
    <row r="71" spans="3:12">
      <c r="K71" s="10"/>
      <c r="L71" s="10"/>
    </row>
    <row r="72" spans="3:12">
      <c r="K72" s="10"/>
      <c r="L72" s="10"/>
    </row>
    <row r="73" spans="3:12">
      <c r="K73" s="10"/>
      <c r="L73" s="10"/>
    </row>
    <row r="74" spans="3:12">
      <c r="K74" s="10"/>
      <c r="L74" s="10"/>
    </row>
    <row r="75" spans="3:12">
      <c r="K75" s="10"/>
      <c r="L75" s="10"/>
    </row>
    <row r="76" spans="3:12">
      <c r="K76" s="10"/>
      <c r="L76" s="10"/>
    </row>
    <row r="77" spans="3:12">
      <c r="K77" s="10"/>
      <c r="L77" s="10"/>
    </row>
    <row r="78" spans="3:12">
      <c r="K78" s="10"/>
      <c r="L78" s="10"/>
    </row>
    <row r="79" spans="3:12">
      <c r="K79" s="10"/>
      <c r="L79" s="10"/>
    </row>
  </sheetData>
  <mergeCells count="2">
    <mergeCell ref="A1:Q1"/>
    <mergeCell ref="C56:E56"/>
  </mergeCells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0"/>
  <sheetViews>
    <sheetView topLeftCell="A18" workbookViewId="0">
      <selection activeCell="I28" sqref="I28"/>
    </sheetView>
  </sheetViews>
  <sheetFormatPr defaultRowHeight="15"/>
  <cols>
    <col min="1" max="2" width="10.42578125" bestFit="1" customWidth="1"/>
    <col min="3" max="3" width="25.85546875" customWidth="1"/>
    <col min="6" max="6" width="12.42578125" customWidth="1"/>
    <col min="11" max="11" width="9.5703125" bestFit="1" customWidth="1"/>
  </cols>
  <sheetData>
    <row r="1" spans="1:16" ht="18.75">
      <c r="A1" s="11" t="s">
        <v>74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3"/>
    </row>
    <row r="3" spans="1:16" ht="15.75">
      <c r="A3" s="6" t="s">
        <v>0</v>
      </c>
      <c r="B3" s="6" t="s">
        <v>13</v>
      </c>
      <c r="C3" s="6" t="s">
        <v>14</v>
      </c>
      <c r="D3" s="6" t="s">
        <v>1</v>
      </c>
      <c r="E3" s="6" t="s">
        <v>2</v>
      </c>
      <c r="F3" s="6" t="s">
        <v>3</v>
      </c>
      <c r="G3" s="6" t="s">
        <v>4</v>
      </c>
      <c r="H3" s="6" t="s">
        <v>5</v>
      </c>
      <c r="I3" s="6" t="s">
        <v>6</v>
      </c>
      <c r="J3" s="6" t="s">
        <v>7</v>
      </c>
      <c r="K3" s="6" t="s">
        <v>8</v>
      </c>
      <c r="L3" s="6" t="s">
        <v>45</v>
      </c>
      <c r="M3" s="6" t="s">
        <v>9</v>
      </c>
      <c r="N3" s="6" t="s">
        <v>10</v>
      </c>
      <c r="O3" s="6" t="s">
        <v>11</v>
      </c>
      <c r="P3" s="6" t="s">
        <v>2</v>
      </c>
    </row>
    <row r="4" spans="1:16">
      <c r="A4" s="2">
        <v>45900</v>
      </c>
      <c r="B4" s="2" t="s">
        <v>15</v>
      </c>
      <c r="C4" s="2" t="s">
        <v>54</v>
      </c>
      <c r="D4" s="1">
        <v>0</v>
      </c>
      <c r="E4" s="1">
        <v>0</v>
      </c>
      <c r="F4" s="1">
        <v>79750</v>
      </c>
      <c r="G4" s="1">
        <f t="shared" ref="G4:G10" si="0">(D4+F4)</f>
        <v>79750</v>
      </c>
      <c r="H4" s="1">
        <v>500</v>
      </c>
      <c r="I4" s="1">
        <v>0</v>
      </c>
      <c r="J4" s="1">
        <f t="shared" ref="J4:J22" si="1">(G4-H4-I4)</f>
        <v>79250</v>
      </c>
      <c r="K4" s="1">
        <v>40250</v>
      </c>
      <c r="L4" s="1">
        <v>0</v>
      </c>
      <c r="M4" s="1">
        <v>39000</v>
      </c>
      <c r="N4" s="1" t="s">
        <v>40</v>
      </c>
      <c r="O4" s="1">
        <f>(J4-K4-L4-M4)</f>
        <v>0</v>
      </c>
      <c r="P4" s="1"/>
    </row>
    <row r="5" spans="1:16">
      <c r="A5" s="2">
        <v>45900</v>
      </c>
      <c r="B5" s="2" t="s">
        <v>16</v>
      </c>
      <c r="C5" s="2" t="s">
        <v>31</v>
      </c>
      <c r="D5" s="1">
        <v>15450</v>
      </c>
      <c r="E5" s="1">
        <v>0</v>
      </c>
      <c r="F5" s="1">
        <v>0</v>
      </c>
      <c r="G5" s="1">
        <f t="shared" si="0"/>
        <v>15450</v>
      </c>
      <c r="H5" s="1">
        <v>0</v>
      </c>
      <c r="I5" s="1">
        <v>0</v>
      </c>
      <c r="J5" s="1">
        <f t="shared" si="1"/>
        <v>15450</v>
      </c>
      <c r="K5" s="1">
        <v>15450</v>
      </c>
      <c r="L5" s="1">
        <v>0</v>
      </c>
      <c r="M5" s="1">
        <v>0</v>
      </c>
      <c r="N5" s="1"/>
      <c r="O5" s="1">
        <f t="shared" ref="O5:O22" si="2">(J5-K5-L5-M5)</f>
        <v>0</v>
      </c>
      <c r="P5" s="1"/>
    </row>
    <row r="6" spans="1:16">
      <c r="A6" s="2">
        <v>45900</v>
      </c>
      <c r="B6" s="2" t="s">
        <v>17</v>
      </c>
      <c r="C6" s="3" t="s">
        <v>55</v>
      </c>
      <c r="D6" s="1"/>
      <c r="E6" s="1">
        <v>110</v>
      </c>
      <c r="F6" s="1">
        <v>105620</v>
      </c>
      <c r="G6" s="4">
        <f>(F6-E6)</f>
        <v>105510</v>
      </c>
      <c r="H6" s="1">
        <v>860</v>
      </c>
      <c r="I6" s="1">
        <v>4540</v>
      </c>
      <c r="J6" s="1">
        <f t="shared" si="1"/>
        <v>100110</v>
      </c>
      <c r="K6" s="1">
        <v>90000</v>
      </c>
      <c r="L6" s="1">
        <v>0</v>
      </c>
      <c r="M6" s="1">
        <v>3860</v>
      </c>
      <c r="N6" s="1" t="s">
        <v>40</v>
      </c>
      <c r="O6" s="1">
        <f t="shared" si="2"/>
        <v>6250</v>
      </c>
      <c r="P6" s="1"/>
    </row>
    <row r="7" spans="1:16">
      <c r="A7" s="2">
        <v>45900</v>
      </c>
      <c r="B7" s="2" t="s">
        <v>18</v>
      </c>
      <c r="C7" s="3" t="s">
        <v>56</v>
      </c>
      <c r="D7" s="1">
        <v>290</v>
      </c>
      <c r="E7" s="1">
        <v>0</v>
      </c>
      <c r="F7" s="1">
        <v>10830</v>
      </c>
      <c r="G7" s="1">
        <f t="shared" si="0"/>
        <v>11120</v>
      </c>
      <c r="H7" s="1">
        <v>100</v>
      </c>
      <c r="I7" s="1">
        <v>0</v>
      </c>
      <c r="J7" s="1">
        <f t="shared" si="1"/>
        <v>11020</v>
      </c>
      <c r="K7" s="1">
        <v>0</v>
      </c>
      <c r="L7" s="1">
        <v>0</v>
      </c>
      <c r="M7" s="1">
        <v>10730</v>
      </c>
      <c r="N7" s="1" t="s">
        <v>40</v>
      </c>
      <c r="O7" s="1">
        <f t="shared" si="2"/>
        <v>290</v>
      </c>
      <c r="P7" s="1">
        <v>10</v>
      </c>
    </row>
    <row r="8" spans="1:16">
      <c r="A8" s="2">
        <v>45900</v>
      </c>
      <c r="B8" s="2" t="s">
        <v>19</v>
      </c>
      <c r="C8" s="3" t="s">
        <v>57</v>
      </c>
      <c r="D8" s="1">
        <v>190</v>
      </c>
      <c r="E8" s="1">
        <v>0</v>
      </c>
      <c r="F8" s="1">
        <v>52840</v>
      </c>
      <c r="G8" s="1">
        <f t="shared" si="0"/>
        <v>53030</v>
      </c>
      <c r="H8" s="1">
        <v>450</v>
      </c>
      <c r="I8" s="1">
        <v>0</v>
      </c>
      <c r="J8" s="1">
        <f t="shared" si="1"/>
        <v>52580</v>
      </c>
      <c r="K8" s="1">
        <v>0</v>
      </c>
      <c r="L8" s="1">
        <v>0</v>
      </c>
      <c r="M8" s="1">
        <v>40000</v>
      </c>
      <c r="N8" s="1" t="s">
        <v>25</v>
      </c>
      <c r="O8" s="1">
        <f t="shared" si="2"/>
        <v>12580</v>
      </c>
      <c r="P8" s="1"/>
    </row>
    <row r="9" spans="1:16">
      <c r="A9" s="2">
        <v>45900</v>
      </c>
      <c r="B9" s="2" t="s">
        <v>20</v>
      </c>
      <c r="C9" s="3" t="s">
        <v>57</v>
      </c>
      <c r="D9" s="1">
        <v>12580</v>
      </c>
      <c r="E9" s="1">
        <v>0</v>
      </c>
      <c r="F9" s="1">
        <v>0</v>
      </c>
      <c r="G9" s="1">
        <f t="shared" ref="G9" si="3">(D9+F9)</f>
        <v>12580</v>
      </c>
      <c r="H9" s="1">
        <v>0</v>
      </c>
      <c r="I9" s="1">
        <v>0</v>
      </c>
      <c r="J9" s="1">
        <f t="shared" ref="J9" si="4">(G9-H9-I9)</f>
        <v>12580</v>
      </c>
      <c r="K9" s="1">
        <v>0</v>
      </c>
      <c r="L9" s="1">
        <v>0</v>
      </c>
      <c r="M9" s="1">
        <v>12580</v>
      </c>
      <c r="N9" s="1" t="s">
        <v>40</v>
      </c>
      <c r="O9" s="1">
        <f t="shared" ref="O9" si="5">(J9-K9-L9-M9)</f>
        <v>0</v>
      </c>
      <c r="P9" s="1"/>
    </row>
    <row r="10" spans="1:16">
      <c r="A10" s="2">
        <v>45900</v>
      </c>
      <c r="B10" s="2" t="s">
        <v>21</v>
      </c>
      <c r="C10" s="3" t="s">
        <v>58</v>
      </c>
      <c r="D10" s="1">
        <v>9150</v>
      </c>
      <c r="E10" s="1">
        <v>0</v>
      </c>
      <c r="F10" s="1">
        <v>0</v>
      </c>
      <c r="G10" s="1">
        <f t="shared" si="0"/>
        <v>9150</v>
      </c>
      <c r="H10" s="1">
        <v>0</v>
      </c>
      <c r="I10" s="1">
        <v>0</v>
      </c>
      <c r="J10" s="1">
        <f t="shared" si="1"/>
        <v>9150</v>
      </c>
      <c r="K10" s="1">
        <v>0</v>
      </c>
      <c r="L10" s="1">
        <v>0</v>
      </c>
      <c r="M10" s="1">
        <v>5000</v>
      </c>
      <c r="N10" s="1" t="s">
        <v>25</v>
      </c>
      <c r="O10" s="1">
        <f t="shared" si="2"/>
        <v>4150</v>
      </c>
      <c r="P10" s="1"/>
    </row>
    <row r="11" spans="1:16">
      <c r="A11" s="2">
        <v>45900</v>
      </c>
      <c r="B11" s="2" t="s">
        <v>22</v>
      </c>
      <c r="C11" s="3" t="s">
        <v>59</v>
      </c>
      <c r="D11" s="1">
        <v>84490</v>
      </c>
      <c r="E11" s="1">
        <v>0</v>
      </c>
      <c r="F11" s="1">
        <v>0</v>
      </c>
      <c r="G11" s="1">
        <f t="shared" ref="G11:G16" si="6">(D11+F11)</f>
        <v>84490</v>
      </c>
      <c r="H11" s="1">
        <v>0</v>
      </c>
      <c r="I11" s="1">
        <v>0</v>
      </c>
      <c r="J11" s="1">
        <f t="shared" si="1"/>
        <v>84490</v>
      </c>
      <c r="K11" s="1">
        <v>0</v>
      </c>
      <c r="L11" s="1">
        <v>0</v>
      </c>
      <c r="M11" s="1">
        <v>40000</v>
      </c>
      <c r="N11" s="1" t="s">
        <v>40</v>
      </c>
      <c r="O11" s="1">
        <f t="shared" si="2"/>
        <v>44490</v>
      </c>
      <c r="P11" s="1"/>
    </row>
    <row r="12" spans="1:16">
      <c r="A12" s="2">
        <v>45900</v>
      </c>
      <c r="B12" s="2" t="s">
        <v>23</v>
      </c>
      <c r="C12" s="3" t="s">
        <v>61</v>
      </c>
      <c r="D12" s="1">
        <v>10</v>
      </c>
      <c r="E12" s="1">
        <v>0</v>
      </c>
      <c r="F12" s="1">
        <v>57460</v>
      </c>
      <c r="G12" s="1">
        <f t="shared" si="6"/>
        <v>57470</v>
      </c>
      <c r="H12" s="1">
        <v>510</v>
      </c>
      <c r="I12" s="1">
        <v>2480</v>
      </c>
      <c r="J12" s="1">
        <f t="shared" ref="J12" si="7">(G12-H12-I12)</f>
        <v>54480</v>
      </c>
      <c r="K12" s="1">
        <v>0</v>
      </c>
      <c r="L12" s="1">
        <v>0</v>
      </c>
      <c r="M12" s="1">
        <v>44000</v>
      </c>
      <c r="N12" s="1" t="s">
        <v>25</v>
      </c>
      <c r="O12" s="1">
        <f t="shared" ref="O12" si="8">(J12-K12-L12-M12)</f>
        <v>10480</v>
      </c>
      <c r="P12" s="1"/>
    </row>
    <row r="13" spans="1:16">
      <c r="A13" s="2">
        <v>45900</v>
      </c>
      <c r="B13" s="2" t="s">
        <v>12</v>
      </c>
      <c r="C13" s="3" t="s">
        <v>70</v>
      </c>
      <c r="D13" s="1">
        <v>0</v>
      </c>
      <c r="E13" s="1">
        <v>0</v>
      </c>
      <c r="F13" s="1">
        <v>162070</v>
      </c>
      <c r="G13" s="1">
        <f t="shared" si="6"/>
        <v>162070</v>
      </c>
      <c r="H13" s="1">
        <v>1550</v>
      </c>
      <c r="I13" s="1">
        <v>0</v>
      </c>
      <c r="J13" s="1">
        <f t="shared" si="1"/>
        <v>160520</v>
      </c>
      <c r="K13" s="1">
        <v>110000</v>
      </c>
      <c r="L13" s="1">
        <v>0</v>
      </c>
      <c r="M13" s="1">
        <v>38590</v>
      </c>
      <c r="N13" s="1" t="s">
        <v>40</v>
      </c>
      <c r="O13" s="1">
        <f t="shared" si="2"/>
        <v>11930</v>
      </c>
      <c r="P13" s="1">
        <v>20</v>
      </c>
    </row>
    <row r="14" spans="1:16">
      <c r="A14" s="2">
        <v>45900</v>
      </c>
      <c r="B14" s="2" t="s">
        <v>35</v>
      </c>
      <c r="C14" s="3" t="s">
        <v>39</v>
      </c>
      <c r="D14" s="1">
        <v>12550</v>
      </c>
      <c r="E14" s="1">
        <v>0</v>
      </c>
      <c r="F14" s="1">
        <v>0</v>
      </c>
      <c r="G14" s="1">
        <f t="shared" si="6"/>
        <v>12550</v>
      </c>
      <c r="H14" s="1">
        <v>0</v>
      </c>
      <c r="I14" s="1">
        <v>0</v>
      </c>
      <c r="J14" s="1">
        <f t="shared" si="1"/>
        <v>12550</v>
      </c>
      <c r="K14" s="1">
        <v>12550</v>
      </c>
      <c r="L14" s="1">
        <v>0</v>
      </c>
      <c r="M14" s="1">
        <v>0</v>
      </c>
      <c r="N14" s="1"/>
      <c r="O14" s="1">
        <f t="shared" si="2"/>
        <v>0</v>
      </c>
      <c r="P14" s="1"/>
    </row>
    <row r="15" spans="1:16">
      <c r="A15" s="2">
        <v>45900</v>
      </c>
      <c r="B15" s="2" t="s">
        <v>36</v>
      </c>
      <c r="C15" s="3" t="s">
        <v>71</v>
      </c>
      <c r="D15" s="1">
        <v>20</v>
      </c>
      <c r="E15" s="1">
        <v>0</v>
      </c>
      <c r="F15" s="1">
        <v>14820</v>
      </c>
      <c r="G15" s="1">
        <f t="shared" si="6"/>
        <v>14840</v>
      </c>
      <c r="H15" s="1">
        <v>40</v>
      </c>
      <c r="I15" s="1">
        <v>0</v>
      </c>
      <c r="J15" s="1">
        <f t="shared" si="1"/>
        <v>14800</v>
      </c>
      <c r="K15" s="1">
        <v>0</v>
      </c>
      <c r="L15" s="1">
        <v>0</v>
      </c>
      <c r="M15" s="1">
        <v>14800</v>
      </c>
      <c r="N15" s="1" t="s">
        <v>25</v>
      </c>
      <c r="O15" s="1">
        <f t="shared" si="2"/>
        <v>0</v>
      </c>
      <c r="P15" s="1"/>
    </row>
    <row r="16" spans="1:16">
      <c r="A16" s="2">
        <v>45900</v>
      </c>
      <c r="B16" s="2" t="s">
        <v>37</v>
      </c>
      <c r="C16" s="3"/>
      <c r="D16" s="1">
        <v>0</v>
      </c>
      <c r="E16" s="1">
        <v>0</v>
      </c>
      <c r="F16" s="1">
        <v>0</v>
      </c>
      <c r="G16" s="1">
        <f t="shared" si="6"/>
        <v>0</v>
      </c>
      <c r="H16" s="1">
        <v>0</v>
      </c>
      <c r="I16" s="1">
        <v>0</v>
      </c>
      <c r="J16" s="1">
        <f t="shared" si="1"/>
        <v>0</v>
      </c>
      <c r="K16" s="1">
        <v>0</v>
      </c>
      <c r="L16" s="1">
        <v>0</v>
      </c>
      <c r="M16" s="1">
        <v>0</v>
      </c>
      <c r="N16" s="1" t="s">
        <v>25</v>
      </c>
      <c r="O16" s="1">
        <f t="shared" si="2"/>
        <v>0</v>
      </c>
      <c r="P16" s="1"/>
    </row>
    <row r="17" spans="1:16">
      <c r="A17" s="2">
        <v>45900</v>
      </c>
      <c r="B17" s="2" t="s">
        <v>38</v>
      </c>
      <c r="C17" s="3"/>
      <c r="D17" s="1">
        <v>0</v>
      </c>
      <c r="E17" s="1">
        <v>0</v>
      </c>
      <c r="F17" s="1">
        <v>0</v>
      </c>
      <c r="G17" s="4">
        <f>(F17-E17)</f>
        <v>0</v>
      </c>
      <c r="H17" s="1">
        <v>0</v>
      </c>
      <c r="I17" s="1">
        <v>0</v>
      </c>
      <c r="J17" s="1">
        <f t="shared" si="1"/>
        <v>0</v>
      </c>
      <c r="K17" s="1">
        <v>0</v>
      </c>
      <c r="L17" s="1">
        <v>0</v>
      </c>
      <c r="M17" s="1">
        <v>0</v>
      </c>
      <c r="N17" s="1" t="s">
        <v>25</v>
      </c>
      <c r="O17" s="1">
        <f t="shared" si="2"/>
        <v>0</v>
      </c>
      <c r="P17" s="1"/>
    </row>
    <row r="18" spans="1:16">
      <c r="A18" s="2">
        <v>45900</v>
      </c>
      <c r="B18" s="2" t="s">
        <v>62</v>
      </c>
      <c r="C18" s="3"/>
      <c r="D18" s="1">
        <v>0</v>
      </c>
      <c r="E18" s="1">
        <v>0</v>
      </c>
      <c r="F18" s="1">
        <v>0</v>
      </c>
      <c r="G18" s="1">
        <f>(D18+F18)</f>
        <v>0</v>
      </c>
      <c r="H18" s="1">
        <v>0</v>
      </c>
      <c r="I18" s="1">
        <v>0</v>
      </c>
      <c r="J18" s="1">
        <f t="shared" si="1"/>
        <v>0</v>
      </c>
      <c r="K18" s="1">
        <v>0</v>
      </c>
      <c r="L18" s="1">
        <v>0</v>
      </c>
      <c r="M18" s="1">
        <v>0</v>
      </c>
      <c r="N18" s="1" t="s">
        <v>25</v>
      </c>
      <c r="O18" s="1">
        <f t="shared" si="2"/>
        <v>0</v>
      </c>
      <c r="P18" s="1"/>
    </row>
    <row r="19" spans="1:16">
      <c r="A19" s="2">
        <v>45900</v>
      </c>
      <c r="B19" s="2" t="s">
        <v>63</v>
      </c>
      <c r="C19" s="3"/>
      <c r="D19" s="1">
        <v>0</v>
      </c>
      <c r="E19" s="1">
        <v>0</v>
      </c>
      <c r="F19" s="1">
        <v>0</v>
      </c>
      <c r="G19" s="1">
        <f>(D19+F19)</f>
        <v>0</v>
      </c>
      <c r="H19" s="1">
        <v>0</v>
      </c>
      <c r="I19" s="1">
        <v>0</v>
      </c>
      <c r="J19" s="1">
        <f t="shared" si="1"/>
        <v>0</v>
      </c>
      <c r="K19" s="1">
        <v>0</v>
      </c>
      <c r="L19" s="1">
        <v>0</v>
      </c>
      <c r="M19" s="1">
        <v>0</v>
      </c>
      <c r="N19" s="1"/>
      <c r="O19" s="1">
        <f t="shared" si="2"/>
        <v>0</v>
      </c>
      <c r="P19" s="1"/>
    </row>
    <row r="20" spans="1:16">
      <c r="A20" s="2">
        <v>45900</v>
      </c>
      <c r="B20" s="2" t="s">
        <v>64</v>
      </c>
      <c r="C20" s="3"/>
      <c r="D20" s="1">
        <v>0</v>
      </c>
      <c r="E20" s="1">
        <v>0</v>
      </c>
      <c r="F20" s="1">
        <v>0</v>
      </c>
      <c r="G20" s="1">
        <f t="shared" ref="G20:G22" si="9">(D20+F20)</f>
        <v>0</v>
      </c>
      <c r="H20" s="1">
        <v>0</v>
      </c>
      <c r="I20" s="1">
        <v>0</v>
      </c>
      <c r="J20" s="1">
        <f t="shared" si="1"/>
        <v>0</v>
      </c>
      <c r="K20" s="1">
        <v>0</v>
      </c>
      <c r="L20" s="1">
        <v>0</v>
      </c>
      <c r="M20" s="1">
        <v>0</v>
      </c>
      <c r="N20" s="1"/>
      <c r="O20" s="1">
        <f t="shared" si="2"/>
        <v>0</v>
      </c>
      <c r="P20" s="1"/>
    </row>
    <row r="21" spans="1:16">
      <c r="A21" s="2">
        <v>45900</v>
      </c>
      <c r="B21" s="2" t="s">
        <v>65</v>
      </c>
      <c r="C21" s="3"/>
      <c r="D21" s="1">
        <v>0</v>
      </c>
      <c r="E21" s="1">
        <v>0</v>
      </c>
      <c r="F21" s="1">
        <v>0</v>
      </c>
      <c r="G21" s="1">
        <f t="shared" si="9"/>
        <v>0</v>
      </c>
      <c r="H21" s="1">
        <v>0</v>
      </c>
      <c r="I21" s="1">
        <v>0</v>
      </c>
      <c r="J21" s="1">
        <f t="shared" si="1"/>
        <v>0</v>
      </c>
      <c r="K21" s="1">
        <v>0</v>
      </c>
      <c r="L21" s="1">
        <v>0</v>
      </c>
      <c r="M21" s="1">
        <v>0</v>
      </c>
      <c r="N21" s="1"/>
      <c r="O21" s="1">
        <f t="shared" si="2"/>
        <v>0</v>
      </c>
      <c r="P21" s="1"/>
    </row>
    <row r="22" spans="1:16">
      <c r="A22" s="2">
        <v>45900</v>
      </c>
      <c r="B22" s="2" t="s">
        <v>66</v>
      </c>
      <c r="C22" s="3"/>
      <c r="D22" s="1">
        <v>0</v>
      </c>
      <c r="E22" s="1">
        <v>0</v>
      </c>
      <c r="F22" s="1">
        <v>0</v>
      </c>
      <c r="G22" s="1">
        <f t="shared" si="9"/>
        <v>0</v>
      </c>
      <c r="H22" s="1">
        <v>0</v>
      </c>
      <c r="I22" s="1">
        <v>0</v>
      </c>
      <c r="J22" s="1">
        <f t="shared" si="1"/>
        <v>0</v>
      </c>
      <c r="K22" s="1">
        <v>0</v>
      </c>
      <c r="L22" s="1">
        <v>0</v>
      </c>
      <c r="M22" s="1">
        <v>0</v>
      </c>
      <c r="N22" s="1"/>
      <c r="O22" s="1">
        <f t="shared" si="2"/>
        <v>0</v>
      </c>
      <c r="P22" s="1"/>
    </row>
    <row r="23" spans="1:16">
      <c r="A23" s="2"/>
      <c r="B23" s="2"/>
      <c r="C23" s="3" t="s">
        <v>49</v>
      </c>
      <c r="D23" s="1"/>
      <c r="E23" s="1"/>
      <c r="F23" s="1"/>
      <c r="G23" s="1">
        <f>(G4+G5+G6+G7+G8+G9+G10+G11+G12+G13+G14+G15+G16+G17+G18+G19+G20+G21+G22)</f>
        <v>618010</v>
      </c>
      <c r="H23" s="1">
        <f t="shared" ref="H23:M23" si="10">(H4+H5+H6+H7+H8+H9+H10+H11+H12+H13+H14+H15+H16+H17+H18+H19+H20+H21+H22)</f>
        <v>4010</v>
      </c>
      <c r="I23" s="1">
        <f t="shared" si="10"/>
        <v>7020</v>
      </c>
      <c r="J23" s="1">
        <f t="shared" si="10"/>
        <v>606980</v>
      </c>
      <c r="K23" s="1">
        <f t="shared" si="10"/>
        <v>268250</v>
      </c>
      <c r="L23" s="1">
        <f t="shared" si="10"/>
        <v>0</v>
      </c>
      <c r="M23" s="1">
        <f t="shared" si="10"/>
        <v>248560</v>
      </c>
      <c r="N23" s="1"/>
      <c r="O23" s="1">
        <f>(O4+O5+O6+O7+O8+O9+O10+O11+O12+O13+O14+O15+O16+O17+O18+O19+O20+O21+O22)</f>
        <v>90170</v>
      </c>
      <c r="P23" s="1">
        <f t="shared" ref="P23" si="11">(P5+P6+P7+P8+P10+P11+P12+P13+P14+P15+P16+P17+P18+P19+P20+P21+P22)</f>
        <v>30</v>
      </c>
    </row>
    <row r="25" spans="1:16" ht="15.75">
      <c r="C25" s="16" t="s">
        <v>75</v>
      </c>
      <c r="D25" s="16"/>
      <c r="E25" s="16"/>
    </row>
    <row r="26" spans="1:16">
      <c r="A26" s="5"/>
      <c r="C26" s="1" t="s">
        <v>72</v>
      </c>
      <c r="D26" s="1">
        <v>90</v>
      </c>
      <c r="E26" s="1"/>
      <c r="K26" s="8">
        <v>34180</v>
      </c>
    </row>
    <row r="27" spans="1:16">
      <c r="C27" s="3" t="s">
        <v>50</v>
      </c>
      <c r="D27" s="1">
        <v>268250</v>
      </c>
      <c r="E27" s="1"/>
      <c r="I27">
        <v>29.45</v>
      </c>
      <c r="K27" s="8">
        <v>31940</v>
      </c>
    </row>
    <row r="28" spans="1:16">
      <c r="C28" s="3" t="s">
        <v>51</v>
      </c>
      <c r="D28" s="1">
        <v>0</v>
      </c>
      <c r="E28" s="1">
        <v>103800</v>
      </c>
      <c r="I28">
        <v>29.35</v>
      </c>
      <c r="K28" s="8">
        <v>31390</v>
      </c>
    </row>
    <row r="29" spans="1:16">
      <c r="C29" s="3" t="s">
        <v>73</v>
      </c>
      <c r="D29" s="1">
        <v>0</v>
      </c>
      <c r="E29" s="1">
        <v>144760</v>
      </c>
      <c r="I29">
        <v>30.45</v>
      </c>
      <c r="K29" s="8">
        <v>28090</v>
      </c>
    </row>
    <row r="30" spans="1:16">
      <c r="C30" s="3" t="s">
        <v>49</v>
      </c>
      <c r="D30" s="1">
        <f>(D26+D27+D28+D29)</f>
        <v>268340</v>
      </c>
      <c r="E30" s="1">
        <f>(E26+E27+E28+E29)</f>
        <v>248560</v>
      </c>
      <c r="I30">
        <v>32.090000000000003</v>
      </c>
      <c r="K30" s="8">
        <v>30300</v>
      </c>
    </row>
    <row r="31" spans="1:16">
      <c r="I31">
        <v>32.22</v>
      </c>
      <c r="K31" s="8">
        <v>32380</v>
      </c>
    </row>
    <row r="32" spans="1:16">
      <c r="B32" s="5"/>
      <c r="C32" s="5"/>
      <c r="I32">
        <v>33.06</v>
      </c>
      <c r="K32" s="8">
        <v>33540</v>
      </c>
    </row>
    <row r="33" spans="2:11">
      <c r="B33" s="5"/>
      <c r="C33" s="5"/>
      <c r="I33">
        <v>33.090000000000003</v>
      </c>
      <c r="K33" s="8">
        <v>31900</v>
      </c>
    </row>
    <row r="34" spans="2:11">
      <c r="I34">
        <v>34.630000000000003</v>
      </c>
      <c r="K34" s="8">
        <v>33940</v>
      </c>
    </row>
    <row r="35" spans="2:11">
      <c r="I35">
        <v>31.54</v>
      </c>
      <c r="K35" s="8">
        <v>34000</v>
      </c>
    </row>
    <row r="36" spans="2:11">
      <c r="I36">
        <v>32.159999999999997</v>
      </c>
      <c r="K36" s="8">
        <v>31830</v>
      </c>
    </row>
    <row r="37" spans="2:11">
      <c r="I37">
        <v>32.19</v>
      </c>
      <c r="K37" s="8">
        <v>30010</v>
      </c>
    </row>
    <row r="38" spans="2:11">
      <c r="I38">
        <f>SUM(I26:I37)</f>
        <v>350.22999999999996</v>
      </c>
      <c r="K38" s="8">
        <v>29160</v>
      </c>
    </row>
    <row r="39" spans="2:11">
      <c r="K39" s="8">
        <v>29590</v>
      </c>
    </row>
    <row r="40" spans="2:11">
      <c r="K40" s="9">
        <f>SUM(K26:K39)</f>
        <v>442250</v>
      </c>
    </row>
  </sheetData>
  <mergeCells count="2">
    <mergeCell ref="A1:P1"/>
    <mergeCell ref="C25:E2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CREDIT SALES CASH</vt:lpstr>
      <vt:lpstr>CREDIT SALES_31_08_25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PMS</cp:lastModifiedBy>
  <dcterms:created xsi:type="dcterms:W3CDTF">2025-08-29T16:44:48Z</dcterms:created>
  <dcterms:modified xsi:type="dcterms:W3CDTF">2025-09-05T14:02:26Z</dcterms:modified>
</cp:coreProperties>
</file>