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930" windowWidth="14535" windowHeight="7080" activeTab="1"/>
  </bookViews>
  <sheets>
    <sheet name="Sheet1" sheetId="1" r:id="rId1"/>
    <sheet name="PASS LIST WISE" sheetId="2" r:id="rId2"/>
    <sheet name="Sheet3" sheetId="3" r:id="rId3"/>
  </sheets>
  <definedNames>
    <definedName name="_xlnm.Print_Titles" localSheetId="1">'PASS LIST WISE'!$1:$1</definedName>
  </definedNames>
  <calcPr calcId="124519"/>
</workbook>
</file>

<file path=xl/calcChain.xml><?xml version="1.0" encoding="utf-8"?>
<calcChain xmlns="http://schemas.openxmlformats.org/spreadsheetml/2006/main">
  <c r="I5" i="2"/>
  <c r="I6" s="1"/>
  <c r="I7" s="1"/>
  <c r="I8" s="1"/>
  <c r="I9" s="1"/>
  <c r="I10" s="1"/>
  <c r="I11" s="1"/>
  <c r="I12" s="1"/>
  <c r="I13" s="1"/>
  <c r="I14" s="1"/>
  <c r="I15" s="1"/>
  <c r="I16" s="1"/>
  <c r="I17" s="1"/>
  <c r="I18" s="1"/>
  <c r="I19" s="1"/>
  <c r="I20" s="1"/>
  <c r="I21" s="1"/>
  <c r="I22" s="1"/>
  <c r="I23" s="1"/>
  <c r="I24" s="1"/>
  <c r="I25" s="1"/>
  <c r="I26" s="1"/>
  <c r="I27" s="1"/>
  <c r="I28" s="1"/>
  <c r="I29" s="1"/>
  <c r="I30" s="1"/>
  <c r="I31" s="1"/>
  <c r="I32" s="1"/>
  <c r="I33" s="1"/>
  <c r="I34" s="1"/>
  <c r="I35" s="1"/>
  <c r="I36" s="1"/>
  <c r="I37" s="1"/>
  <c r="I38" s="1"/>
  <c r="I39" s="1"/>
  <c r="I40" s="1"/>
  <c r="I41" s="1"/>
  <c r="I42" s="1"/>
  <c r="I43" s="1"/>
  <c r="I44" s="1"/>
  <c r="I45" s="1"/>
  <c r="I46" s="1"/>
  <c r="I47" s="1"/>
  <c r="I48" s="1"/>
  <c r="I49" s="1"/>
  <c r="I50" s="1"/>
  <c r="I51" s="1"/>
  <c r="I52" s="1"/>
  <c r="I53" s="1"/>
  <c r="I54" s="1"/>
  <c r="I55" s="1"/>
  <c r="I56" s="1"/>
  <c r="I57" s="1"/>
  <c r="I4"/>
  <c r="G75" i="1"/>
  <c r="I2" i="2" l="1"/>
  <c r="I3" s="1"/>
  <c r="G16" i="3"/>
  <c r="G61" i="1"/>
  <c r="G32"/>
  <c r="G43"/>
  <c r="G15"/>
  <c r="H58" i="2" l="1"/>
</calcChain>
</file>

<file path=xl/sharedStrings.xml><?xml version="1.0" encoding="utf-8"?>
<sst xmlns="http://schemas.openxmlformats.org/spreadsheetml/2006/main" count="738" uniqueCount="225">
  <si>
    <t>DATE : 11-11-25</t>
  </si>
  <si>
    <t>TRANSIT NUMBER</t>
  </si>
  <si>
    <t>SECURITY PAPER NUMBER</t>
  </si>
  <si>
    <t>VEHICLE NUMBER</t>
  </si>
  <si>
    <t>DRIVER</t>
  </si>
  <si>
    <t>MINERAL</t>
  </si>
  <si>
    <t>QUANTITY</t>
  </si>
  <si>
    <t>KKM000000128823/2025</t>
  </si>
  <si>
    <t>TSPS01941182</t>
  </si>
  <si>
    <t>TN74BE1287</t>
  </si>
  <si>
    <t>THANGASELVAN</t>
  </si>
  <si>
    <t>Rough STONE</t>
  </si>
  <si>
    <t>KKM000000128827/2025</t>
  </si>
  <si>
    <t>TSPS01941183</t>
  </si>
  <si>
    <t>TN51C0370</t>
  </si>
  <si>
    <t>SUYAMBULINGAM</t>
  </si>
  <si>
    <t>KKM000000128836/2025</t>
  </si>
  <si>
    <t>TSPS01941184</t>
  </si>
  <si>
    <t>TN74AB1648</t>
  </si>
  <si>
    <t>renjan</t>
  </si>
  <si>
    <t>KKM000000128859/2025</t>
  </si>
  <si>
    <t>TSPS01941185</t>
  </si>
  <si>
    <t>TN69AA2538</t>
  </si>
  <si>
    <t>PARTHIPAN</t>
  </si>
  <si>
    <t>KKM000000128862/2025</t>
  </si>
  <si>
    <t>TSPS01941186</t>
  </si>
  <si>
    <t>DURAI</t>
  </si>
  <si>
    <t>KKM000000128899/2025</t>
  </si>
  <si>
    <t>TSPS01941189</t>
  </si>
  <si>
    <t>TN10M4971</t>
  </si>
  <si>
    <t>KITTU</t>
  </si>
  <si>
    <t>KKM000000128912/2025</t>
  </si>
  <si>
    <t>TSPS01941190</t>
  </si>
  <si>
    <t>TN74AT8901</t>
  </si>
  <si>
    <t>SAHADEVAN</t>
  </si>
  <si>
    <t>KKM000000128988/2025</t>
  </si>
  <si>
    <t>TSPS01941191</t>
  </si>
  <si>
    <t>TN12C5613</t>
  </si>
  <si>
    <t>RAGU</t>
  </si>
  <si>
    <t>KKM000000129011/2025</t>
  </si>
  <si>
    <t>TSPS01941192</t>
  </si>
  <si>
    <t>TN74AA0427</t>
  </si>
  <si>
    <t>SADHA</t>
  </si>
  <si>
    <t>KKM000000129186/2025</t>
  </si>
  <si>
    <t>TSPS01941193</t>
  </si>
  <si>
    <t>TN74S9066</t>
  </si>
  <si>
    <t>rajan</t>
  </si>
  <si>
    <t>KKM000000129423/2025</t>
  </si>
  <si>
    <t>TSPS01941194</t>
  </si>
  <si>
    <t>TN74AV0469</t>
  </si>
  <si>
    <t>JEGAN</t>
  </si>
  <si>
    <t>KKM000000129428/2025</t>
  </si>
  <si>
    <t>TSPS01941195</t>
  </si>
  <si>
    <t>SURAI</t>
  </si>
  <si>
    <t>TOTAL</t>
  </si>
  <si>
    <r>
      <t xml:space="preserve">DATE : </t>
    </r>
    <r>
      <rPr>
        <sz val="12"/>
        <color theme="1"/>
        <rFont val="Calibri"/>
        <family val="2"/>
        <scheme val="minor"/>
      </rPr>
      <t>10/11/2025</t>
    </r>
  </si>
  <si>
    <t>SNO</t>
  </si>
  <si>
    <t>KKM000000127378/2025</t>
  </si>
  <si>
    <t>TSPS01941163</t>
  </si>
  <si>
    <t>KKM000000127399/2025</t>
  </si>
  <si>
    <t>TSPS01941165</t>
  </si>
  <si>
    <t>TN74AZ4030</t>
  </si>
  <si>
    <t>vajith</t>
  </si>
  <si>
    <t>KKM000000127407/2025</t>
  </si>
  <si>
    <t>TSPS01941166</t>
  </si>
  <si>
    <t>aji</t>
  </si>
  <si>
    <t>KKM000000127425/2025</t>
  </si>
  <si>
    <t>TSPS01941168</t>
  </si>
  <si>
    <t>TN74AF7096</t>
  </si>
  <si>
    <t>kannan</t>
  </si>
  <si>
    <t>KKM000000127460/2025</t>
  </si>
  <si>
    <t>TSPS01941172</t>
  </si>
  <si>
    <t>selvan</t>
  </si>
  <si>
    <t>KKM000000127515/2025</t>
  </si>
  <si>
    <t>TSPS01941173</t>
  </si>
  <si>
    <t>TN74P6459</t>
  </si>
  <si>
    <t>SIVALINGAM</t>
  </si>
  <si>
    <t>KKM000000127519/2025</t>
  </si>
  <si>
    <t>TSPS01941174</t>
  </si>
  <si>
    <t>TN75AY9825</t>
  </si>
  <si>
    <t>P.PRAVIN</t>
  </si>
  <si>
    <t>KKM000000127593/2025</t>
  </si>
  <si>
    <t>TSPS01941175</t>
  </si>
  <si>
    <t>TN74AD7507</t>
  </si>
  <si>
    <t>AUYAPPAN</t>
  </si>
  <si>
    <t>KKM000000127668/2025</t>
  </si>
  <si>
    <t>TSPS01941177</t>
  </si>
  <si>
    <t>KANNAN</t>
  </si>
  <si>
    <t>KKM000000127694/2025</t>
  </si>
  <si>
    <t>TSPS01941178</t>
  </si>
  <si>
    <t>RANJAN</t>
  </si>
  <si>
    <t>KKM000000127928/2025</t>
  </si>
  <si>
    <t>TSPS01941180</t>
  </si>
  <si>
    <t>TN75AB6043</t>
  </si>
  <si>
    <t>PANNEER</t>
  </si>
  <si>
    <t>KKM000000128111/2025</t>
  </si>
  <si>
    <t>TSPS01941181</t>
  </si>
  <si>
    <t>TN74Q8316</t>
  </si>
  <si>
    <t>RAJARETNAM</t>
  </si>
  <si>
    <t>KKM000000130245/2025</t>
  </si>
  <si>
    <t>TSPS01941209</t>
  </si>
  <si>
    <t>VALLINAYAGAM</t>
  </si>
  <si>
    <t>Rough Stone</t>
  </si>
  <si>
    <t>KKM000000130263/2025</t>
  </si>
  <si>
    <t>TSPS01941212</t>
  </si>
  <si>
    <t>KKM000000130320/2025</t>
  </si>
  <si>
    <t>TSPS01941216</t>
  </si>
  <si>
    <t>KKM000000130460/2025</t>
  </si>
  <si>
    <t>TSPS01941217</t>
  </si>
  <si>
    <t>TN74AW7628</t>
  </si>
  <si>
    <t>MANIKANDAN</t>
  </si>
  <si>
    <t>KKM000000130704/2025</t>
  </si>
  <si>
    <t>TSPS01941223</t>
  </si>
  <si>
    <t>TN75BD4722</t>
  </si>
  <si>
    <t>MERLIN</t>
  </si>
  <si>
    <t>KKM000000130834/2025</t>
  </si>
  <si>
    <t>TSPS01941225</t>
  </si>
  <si>
    <t>TN74AV8361</t>
  </si>
  <si>
    <t>N NARAYANAN</t>
  </si>
  <si>
    <t>DATE : 12-11-25</t>
  </si>
  <si>
    <t>DATE : 13/11/2025</t>
  </si>
  <si>
    <t>KKM000000131579/2025</t>
  </si>
  <si>
    <t>TSPS02548507</t>
  </si>
  <si>
    <t>ROUGH STONE</t>
  </si>
  <si>
    <t>KKM000000131472/2025</t>
  </si>
  <si>
    <t>TSPS01941228</t>
  </si>
  <si>
    <t>TN74BH5473</t>
  </si>
  <si>
    <t>CLINTON</t>
  </si>
  <si>
    <t>KKM000000131482/2025</t>
  </si>
  <si>
    <t>TSPS01941231</t>
  </si>
  <si>
    <t>TN74BC7751</t>
  </si>
  <si>
    <t>KKM000000131494/2025</t>
  </si>
  <si>
    <t>TSPS01941232</t>
  </si>
  <si>
    <t>TN73BZ0138</t>
  </si>
  <si>
    <t>SELVA PERUMAL</t>
  </si>
  <si>
    <t>KKM000000131497/2025</t>
  </si>
  <si>
    <t>TSPS01941233</t>
  </si>
  <si>
    <t>PTHANGASELVAN</t>
  </si>
  <si>
    <t>KKM000000131503/2025</t>
  </si>
  <si>
    <t>TSPS01941234</t>
  </si>
  <si>
    <t>RAJAN</t>
  </si>
  <si>
    <t>KKM000000131708/2025</t>
  </si>
  <si>
    <t>TSPS02548522</t>
  </si>
  <si>
    <t>SELVAPERUMAL</t>
  </si>
  <si>
    <t>KKM000000131880/2025</t>
  </si>
  <si>
    <t>TSPS02548550</t>
  </si>
  <si>
    <t>KKM000000131895/2025</t>
  </si>
  <si>
    <t>TSPS02548553</t>
  </si>
  <si>
    <t>TN74P3102</t>
  </si>
  <si>
    <t>MSUBASH</t>
  </si>
  <si>
    <t>KKM000000132297/2025</t>
  </si>
  <si>
    <t>TSPS02548604</t>
  </si>
  <si>
    <t>TN74BH0625</t>
  </si>
  <si>
    <t>HASAPAUL</t>
  </si>
  <si>
    <t>KKM000000132306/2025</t>
  </si>
  <si>
    <t>TSPS02548607</t>
  </si>
  <si>
    <t>TN74M3586</t>
  </si>
  <si>
    <t>VINOTH</t>
  </si>
  <si>
    <t>KKM000000132309/2025</t>
  </si>
  <si>
    <t>TSPS02548609</t>
  </si>
  <si>
    <t>TN74J8352</t>
  </si>
  <si>
    <t>Rajarethinam</t>
  </si>
  <si>
    <t>KKM000000132310/2025</t>
  </si>
  <si>
    <t>TSPS02548610</t>
  </si>
  <si>
    <t>PARAMARTHALINGAM</t>
  </si>
  <si>
    <r>
      <t xml:space="preserve">DATE : </t>
    </r>
    <r>
      <rPr>
        <sz val="12"/>
        <color theme="1"/>
        <rFont val="Calibri"/>
        <family val="2"/>
        <scheme val="minor"/>
      </rPr>
      <t>14/11/2025</t>
    </r>
  </si>
  <si>
    <t>SECURITY PAPERNUMBER</t>
  </si>
  <si>
    <t>KKM000000133029/2025</t>
  </si>
  <si>
    <t>TSPS02548617</t>
  </si>
  <si>
    <t>TN74AZ0249</t>
  </si>
  <si>
    <t>ARULANTHAM</t>
  </si>
  <si>
    <t>KKM000000133045/2025</t>
  </si>
  <si>
    <t>TSPS02548618</t>
  </si>
  <si>
    <t>KKM000000133052/2025</t>
  </si>
  <si>
    <t>TSPS02548620</t>
  </si>
  <si>
    <t>KKM000000133095/2025</t>
  </si>
  <si>
    <t>TSPS02548624</t>
  </si>
  <si>
    <t>TN75AK2350</t>
  </si>
  <si>
    <t>KRISHNAN</t>
  </si>
  <si>
    <t>KKM000000133233/2025</t>
  </si>
  <si>
    <t>TSPS02548634</t>
  </si>
  <si>
    <t>TN74AU9677</t>
  </si>
  <si>
    <t>KANISH</t>
  </si>
  <si>
    <t>KKM000000133630/2025</t>
  </si>
  <si>
    <t>TSPS02548650</t>
  </si>
  <si>
    <t>KKM000000133823/2025</t>
  </si>
  <si>
    <t>TSPS02548692</t>
  </si>
  <si>
    <t>TN74AW2611</t>
  </si>
  <si>
    <t>SURESH</t>
  </si>
  <si>
    <t>KKM000000133837/2025</t>
  </si>
  <si>
    <t>TSPS02548702</t>
  </si>
  <si>
    <t>DATE</t>
  </si>
  <si>
    <t>13/11/25</t>
  </si>
  <si>
    <t>14/11/25</t>
  </si>
  <si>
    <t>KKM000000134507/2025</t>
  </si>
  <si>
    <t>TSPS02548707</t>
  </si>
  <si>
    <t>TN74BE3132</t>
  </si>
  <si>
    <t>STALIN</t>
  </si>
  <si>
    <t>KKM000000134517/2025</t>
  </si>
  <si>
    <t>TSPS02548708</t>
  </si>
  <si>
    <t>TN74BC3735</t>
  </si>
  <si>
    <t>KKM000000134561/2025</t>
  </si>
  <si>
    <t>TSPS02548710</t>
  </si>
  <si>
    <t>S VINOTH</t>
  </si>
  <si>
    <t>KKM000000134567/2025</t>
  </si>
  <si>
    <t>TSPS02548711</t>
  </si>
  <si>
    <t>KKM000000134574/2025</t>
  </si>
  <si>
    <t>TSPS02548712</t>
  </si>
  <si>
    <t>KKM000000134616/2025</t>
  </si>
  <si>
    <t>TSPS02548713</t>
  </si>
  <si>
    <t>TN34J8057</t>
  </si>
  <si>
    <t>MOHIDEEN SHEIK RAMEES</t>
  </si>
  <si>
    <t>KKM000000134668/2025</t>
  </si>
  <si>
    <t>TSPS02548714</t>
  </si>
  <si>
    <t>TN75AX3242</t>
  </si>
  <si>
    <t>NADARAJAN</t>
  </si>
  <si>
    <t xml:space="preserve">AMOHAMED SHEK </t>
  </si>
  <si>
    <t>15/11/25</t>
  </si>
  <si>
    <t>TOTAL QUANTITY</t>
  </si>
  <si>
    <t>TOTAL PASS AMOUNT</t>
  </si>
  <si>
    <t>KKMCR0031</t>
  </si>
  <si>
    <t>JEGATHESH</t>
  </si>
  <si>
    <t>TN75F7249</t>
  </si>
  <si>
    <t>TSPS02548616</t>
  </si>
  <si>
    <t>KKM000000133024/2025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</si>
</sst>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5" xfId="0" applyBorder="1"/>
    <xf numFmtId="0" fontId="0" fillId="0" borderId="1" xfId="0" applyBorder="1" applyAlignment="1"/>
    <xf numFmtId="0" fontId="1" fillId="0" borderId="0" xfId="0" applyFont="1" applyAlignment="1">
      <alignment horizontal="center" vertical="center" wrapText="1"/>
    </xf>
    <xf numFmtId="0" fontId="0" fillId="0" borderId="2" xfId="0" applyBorder="1"/>
    <xf numFmtId="0" fontId="4" fillId="0" borderId="1" xfId="0" applyFont="1" applyBorder="1"/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/>
    <xf numFmtId="0" fontId="1" fillId="0" borderId="6" xfId="0" applyFont="1" applyBorder="1" applyAlignment="1">
      <alignment horizontal="center" vertical="center" wrapText="1"/>
    </xf>
    <xf numFmtId="0" fontId="2" fillId="0" borderId="0" xfId="0" applyFont="1" applyBorder="1" applyAlignment="1"/>
    <xf numFmtId="14" fontId="0" fillId="0" borderId="1" xfId="0" applyNumberFormat="1" applyBorder="1"/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opLeftCell="A61" workbookViewId="0">
      <selection activeCell="A66" sqref="A66:G74"/>
    </sheetView>
  </sheetViews>
  <sheetFormatPr defaultRowHeight="15"/>
  <cols>
    <col min="1" max="1" width="5.28515625" bestFit="1" customWidth="1"/>
    <col min="2" max="2" width="22.28515625" bestFit="1" customWidth="1"/>
    <col min="3" max="3" width="15.7109375" bestFit="1" customWidth="1"/>
    <col min="4" max="4" width="13.28515625" bestFit="1" customWidth="1"/>
    <col min="5" max="5" width="17" bestFit="1" customWidth="1"/>
    <col min="6" max="6" width="13.85546875" bestFit="1" customWidth="1"/>
    <col min="7" max="7" width="10.28515625" customWidth="1"/>
  </cols>
  <sheetData>
    <row r="1" spans="1:7" ht="15.75">
      <c r="A1" s="22" t="s">
        <v>55</v>
      </c>
      <c r="B1" s="23"/>
      <c r="C1" s="23"/>
      <c r="D1" s="23"/>
      <c r="E1" s="23"/>
      <c r="F1" s="23"/>
      <c r="G1" s="24"/>
    </row>
    <row r="2" spans="1:7" ht="32.25" customHeight="1">
      <c r="A2" s="1" t="s">
        <v>56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2">
        <v>1</v>
      </c>
      <c r="B3" s="2" t="s">
        <v>57</v>
      </c>
      <c r="C3" s="2" t="s">
        <v>58</v>
      </c>
      <c r="D3" s="2" t="s">
        <v>18</v>
      </c>
      <c r="E3" s="2" t="s">
        <v>19</v>
      </c>
      <c r="F3" s="2" t="s">
        <v>11</v>
      </c>
      <c r="G3" s="2">
        <v>7</v>
      </c>
    </row>
    <row r="4" spans="1:7">
      <c r="A4" s="2">
        <v>2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11</v>
      </c>
      <c r="G4" s="2">
        <v>5</v>
      </c>
    </row>
    <row r="5" spans="1:7">
      <c r="A5" s="2">
        <v>3</v>
      </c>
      <c r="B5" s="2" t="s">
        <v>63</v>
      </c>
      <c r="C5" s="2" t="s">
        <v>64</v>
      </c>
      <c r="D5" s="2" t="s">
        <v>37</v>
      </c>
      <c r="E5" s="2" t="s">
        <v>65</v>
      </c>
      <c r="F5" s="2" t="s">
        <v>11</v>
      </c>
      <c r="G5" s="2">
        <v>5</v>
      </c>
    </row>
    <row r="6" spans="1:7">
      <c r="A6" s="2">
        <v>4</v>
      </c>
      <c r="B6" s="2" t="s">
        <v>66</v>
      </c>
      <c r="C6" s="2" t="s">
        <v>67</v>
      </c>
      <c r="D6" s="2" t="s">
        <v>68</v>
      </c>
      <c r="E6" s="2" t="s">
        <v>69</v>
      </c>
      <c r="F6" s="2" t="s">
        <v>11</v>
      </c>
      <c r="G6" s="2">
        <v>6</v>
      </c>
    </row>
    <row r="7" spans="1:7">
      <c r="A7" s="2">
        <v>5</v>
      </c>
      <c r="B7" s="2" t="s">
        <v>70</v>
      </c>
      <c r="C7" s="2" t="s">
        <v>71</v>
      </c>
      <c r="D7" s="2" t="s">
        <v>22</v>
      </c>
      <c r="E7" s="2" t="s">
        <v>72</v>
      </c>
      <c r="F7" s="2" t="s">
        <v>11</v>
      </c>
      <c r="G7" s="2">
        <v>5</v>
      </c>
    </row>
    <row r="8" spans="1:7">
      <c r="A8" s="2">
        <v>6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11</v>
      </c>
      <c r="G8" s="2">
        <v>3</v>
      </c>
    </row>
    <row r="9" spans="1:7">
      <c r="A9" s="2">
        <v>7</v>
      </c>
      <c r="B9" s="2" t="s">
        <v>77</v>
      </c>
      <c r="C9" s="2" t="s">
        <v>78</v>
      </c>
      <c r="D9" s="2" t="s">
        <v>79</v>
      </c>
      <c r="E9" s="2" t="s">
        <v>80</v>
      </c>
      <c r="F9" s="2" t="s">
        <v>11</v>
      </c>
      <c r="G9" s="2">
        <v>5</v>
      </c>
    </row>
    <row r="10" spans="1:7">
      <c r="A10" s="2">
        <v>8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11</v>
      </c>
      <c r="G10" s="2">
        <v>5</v>
      </c>
    </row>
    <row r="11" spans="1:7">
      <c r="A11" s="2">
        <v>9</v>
      </c>
      <c r="B11" s="2" t="s">
        <v>85</v>
      </c>
      <c r="C11" s="2" t="s">
        <v>86</v>
      </c>
      <c r="D11" s="2" t="s">
        <v>68</v>
      </c>
      <c r="E11" s="2" t="s">
        <v>87</v>
      </c>
      <c r="F11" s="2" t="s">
        <v>11</v>
      </c>
      <c r="G11" s="2">
        <v>6</v>
      </c>
    </row>
    <row r="12" spans="1:7">
      <c r="A12" s="2">
        <v>10</v>
      </c>
      <c r="B12" s="2" t="s">
        <v>88</v>
      </c>
      <c r="C12" s="2" t="s">
        <v>89</v>
      </c>
      <c r="D12" s="2" t="s">
        <v>18</v>
      </c>
      <c r="E12" s="2" t="s">
        <v>90</v>
      </c>
      <c r="F12" s="2" t="s">
        <v>11</v>
      </c>
      <c r="G12" s="2">
        <v>7</v>
      </c>
    </row>
    <row r="13" spans="1:7">
      <c r="A13" s="2">
        <v>11</v>
      </c>
      <c r="B13" s="2" t="s">
        <v>91</v>
      </c>
      <c r="C13" s="2" t="s">
        <v>92</v>
      </c>
      <c r="D13" s="2" t="s">
        <v>93</v>
      </c>
      <c r="E13" s="2" t="s">
        <v>94</v>
      </c>
      <c r="F13" s="2" t="s">
        <v>11</v>
      </c>
      <c r="G13" s="2">
        <v>4</v>
      </c>
    </row>
    <row r="14" spans="1:7">
      <c r="A14" s="6">
        <v>12</v>
      </c>
      <c r="B14" s="6" t="s">
        <v>95</v>
      </c>
      <c r="C14" s="6" t="s">
        <v>96</v>
      </c>
      <c r="D14" s="6" t="s">
        <v>97</v>
      </c>
      <c r="E14" s="6" t="s">
        <v>98</v>
      </c>
      <c r="F14" s="2" t="s">
        <v>11</v>
      </c>
      <c r="G14" s="6">
        <v>5</v>
      </c>
    </row>
    <row r="15" spans="1:7">
      <c r="A15" s="25" t="s">
        <v>54</v>
      </c>
      <c r="B15" s="25"/>
      <c r="C15" s="25"/>
      <c r="D15" s="25"/>
      <c r="E15" s="25"/>
      <c r="F15" s="25"/>
      <c r="G15" s="3">
        <f>SUM(G3:G14)</f>
        <v>63</v>
      </c>
    </row>
    <row r="16" spans="1:7">
      <c r="A16" s="5"/>
      <c r="B16" s="5"/>
      <c r="C16" s="5"/>
      <c r="D16" s="5"/>
      <c r="E16" s="5"/>
      <c r="F16" s="5"/>
      <c r="G16" s="4"/>
    </row>
    <row r="17" spans="1:7">
      <c r="A17" s="5"/>
      <c r="B17" s="5"/>
      <c r="C17" s="5"/>
      <c r="D17" s="5"/>
      <c r="E17" s="5"/>
      <c r="F17" s="5"/>
      <c r="G17" s="4"/>
    </row>
    <row r="18" spans="1:7">
      <c r="A18" s="26" t="s">
        <v>0</v>
      </c>
      <c r="B18" s="27"/>
      <c r="C18" s="27"/>
      <c r="D18" s="27"/>
      <c r="E18" s="27"/>
      <c r="F18" s="27"/>
      <c r="G18" s="28"/>
    </row>
    <row r="19" spans="1:7" ht="31.5" customHeight="1">
      <c r="A19" s="8" t="s">
        <v>56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</row>
    <row r="20" spans="1:7">
      <c r="A20" s="2">
        <v>1</v>
      </c>
      <c r="B20" s="2" t="s">
        <v>7</v>
      </c>
      <c r="C20" s="2" t="s">
        <v>8</v>
      </c>
      <c r="D20" s="2" t="s">
        <v>9</v>
      </c>
      <c r="E20" s="2" t="s">
        <v>10</v>
      </c>
      <c r="F20" s="2" t="s">
        <v>11</v>
      </c>
      <c r="G20" s="2">
        <v>4</v>
      </c>
    </row>
    <row r="21" spans="1:7">
      <c r="A21" s="2">
        <v>2</v>
      </c>
      <c r="B21" s="2" t="s">
        <v>12</v>
      </c>
      <c r="C21" s="2" t="s">
        <v>13</v>
      </c>
      <c r="D21" s="2" t="s">
        <v>14</v>
      </c>
      <c r="E21" s="2" t="s">
        <v>15</v>
      </c>
      <c r="F21" s="2" t="s">
        <v>11</v>
      </c>
      <c r="G21" s="2">
        <v>5</v>
      </c>
    </row>
    <row r="22" spans="1:7">
      <c r="A22" s="2">
        <v>3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11</v>
      </c>
      <c r="G22" s="2">
        <v>7</v>
      </c>
    </row>
    <row r="23" spans="1:7">
      <c r="A23" s="2">
        <v>4</v>
      </c>
      <c r="B23" s="2" t="s">
        <v>20</v>
      </c>
      <c r="C23" s="2" t="s">
        <v>21</v>
      </c>
      <c r="D23" s="2" t="s">
        <v>22</v>
      </c>
      <c r="E23" s="2" t="s">
        <v>23</v>
      </c>
      <c r="F23" s="2" t="s">
        <v>11</v>
      </c>
      <c r="G23" s="2">
        <v>6</v>
      </c>
    </row>
    <row r="24" spans="1:7">
      <c r="A24" s="2">
        <v>5</v>
      </c>
      <c r="B24" s="2" t="s">
        <v>24</v>
      </c>
      <c r="C24" s="2" t="s">
        <v>25</v>
      </c>
      <c r="D24" s="2" t="s">
        <v>14</v>
      </c>
      <c r="E24" s="2" t="s">
        <v>26</v>
      </c>
      <c r="F24" s="2" t="s">
        <v>11</v>
      </c>
      <c r="G24" s="2">
        <v>5</v>
      </c>
    </row>
    <row r="25" spans="1:7">
      <c r="A25" s="2">
        <v>6</v>
      </c>
      <c r="B25" s="2" t="s">
        <v>27</v>
      </c>
      <c r="C25" s="2" t="s">
        <v>28</v>
      </c>
      <c r="D25" s="2" t="s">
        <v>29</v>
      </c>
      <c r="E25" s="2" t="s">
        <v>30</v>
      </c>
      <c r="F25" s="2" t="s">
        <v>11</v>
      </c>
      <c r="G25" s="2">
        <v>5</v>
      </c>
    </row>
    <row r="26" spans="1:7">
      <c r="A26" s="2">
        <v>7</v>
      </c>
      <c r="B26" s="2" t="s">
        <v>31</v>
      </c>
      <c r="C26" s="2" t="s">
        <v>32</v>
      </c>
      <c r="D26" s="2" t="s">
        <v>33</v>
      </c>
      <c r="E26" s="2" t="s">
        <v>34</v>
      </c>
      <c r="F26" s="2" t="s">
        <v>11</v>
      </c>
      <c r="G26" s="2">
        <v>9</v>
      </c>
    </row>
    <row r="27" spans="1:7">
      <c r="A27" s="2">
        <v>8</v>
      </c>
      <c r="B27" s="2" t="s">
        <v>35</v>
      </c>
      <c r="C27" s="2" t="s">
        <v>36</v>
      </c>
      <c r="D27" s="2" t="s">
        <v>37</v>
      </c>
      <c r="E27" s="2" t="s">
        <v>38</v>
      </c>
      <c r="F27" s="2" t="s">
        <v>11</v>
      </c>
      <c r="G27" s="2">
        <v>5</v>
      </c>
    </row>
    <row r="28" spans="1:7">
      <c r="A28" s="2">
        <v>9</v>
      </c>
      <c r="B28" s="2" t="s">
        <v>39</v>
      </c>
      <c r="C28" s="2" t="s">
        <v>40</v>
      </c>
      <c r="D28" s="2" t="s">
        <v>41</v>
      </c>
      <c r="E28" s="2" t="s">
        <v>42</v>
      </c>
      <c r="F28" s="2" t="s">
        <v>11</v>
      </c>
      <c r="G28" s="2">
        <v>4</v>
      </c>
    </row>
    <row r="29" spans="1:7">
      <c r="A29" s="2">
        <v>10</v>
      </c>
      <c r="B29" s="2" t="s">
        <v>43</v>
      </c>
      <c r="C29" s="2" t="s">
        <v>44</v>
      </c>
      <c r="D29" s="2" t="s">
        <v>45</v>
      </c>
      <c r="E29" s="2" t="s">
        <v>46</v>
      </c>
      <c r="F29" s="2" t="s">
        <v>11</v>
      </c>
      <c r="G29" s="2">
        <v>4</v>
      </c>
    </row>
    <row r="30" spans="1:7">
      <c r="A30" s="2">
        <v>11</v>
      </c>
      <c r="B30" s="2" t="s">
        <v>47</v>
      </c>
      <c r="C30" s="2" t="s">
        <v>48</v>
      </c>
      <c r="D30" s="2" t="s">
        <v>49</v>
      </c>
      <c r="E30" s="2" t="s">
        <v>50</v>
      </c>
      <c r="F30" s="2" t="s">
        <v>11</v>
      </c>
      <c r="G30" s="2">
        <v>6</v>
      </c>
    </row>
    <row r="31" spans="1:7">
      <c r="A31" s="2">
        <v>12</v>
      </c>
      <c r="B31" s="2" t="s">
        <v>51</v>
      </c>
      <c r="C31" s="2" t="s">
        <v>52</v>
      </c>
      <c r="D31" s="2" t="s">
        <v>14</v>
      </c>
      <c r="E31" s="2" t="s">
        <v>53</v>
      </c>
      <c r="F31" s="2" t="s">
        <v>11</v>
      </c>
      <c r="G31" s="2">
        <v>5</v>
      </c>
    </row>
    <row r="32" spans="1:7">
      <c r="A32" s="21" t="s">
        <v>54</v>
      </c>
      <c r="B32" s="21"/>
      <c r="C32" s="21"/>
      <c r="D32" s="21"/>
      <c r="E32" s="21"/>
      <c r="F32" s="2"/>
      <c r="G32" s="2">
        <f>SUM(G20:G31)</f>
        <v>65</v>
      </c>
    </row>
    <row r="35" spans="1:9">
      <c r="A35" s="26" t="s">
        <v>119</v>
      </c>
      <c r="B35" s="27"/>
      <c r="C35" s="27"/>
      <c r="D35" s="27"/>
      <c r="E35" s="27"/>
      <c r="F35" s="27"/>
      <c r="G35" s="28"/>
    </row>
    <row r="36" spans="1:9" ht="30">
      <c r="A36" s="2" t="s">
        <v>56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</row>
    <row r="37" spans="1:9">
      <c r="A37" s="2">
        <v>1</v>
      </c>
      <c r="B37" s="2" t="s">
        <v>99</v>
      </c>
      <c r="C37" s="2" t="s">
        <v>100</v>
      </c>
      <c r="D37" s="2" t="s">
        <v>14</v>
      </c>
      <c r="E37" s="2" t="s">
        <v>101</v>
      </c>
      <c r="F37" s="2" t="s">
        <v>102</v>
      </c>
      <c r="G37" s="2">
        <v>6</v>
      </c>
    </row>
    <row r="38" spans="1:9">
      <c r="A38" s="2">
        <v>2</v>
      </c>
      <c r="B38" s="2" t="s">
        <v>103</v>
      </c>
      <c r="C38" s="2" t="s">
        <v>104</v>
      </c>
      <c r="D38" s="2" t="s">
        <v>41</v>
      </c>
      <c r="E38" s="2" t="s">
        <v>15</v>
      </c>
      <c r="F38" s="2" t="s">
        <v>102</v>
      </c>
      <c r="G38" s="2">
        <v>4</v>
      </c>
    </row>
    <row r="39" spans="1:9">
      <c r="A39" s="2">
        <v>3</v>
      </c>
      <c r="B39" s="2" t="s">
        <v>105</v>
      </c>
      <c r="C39" s="2" t="s">
        <v>106</v>
      </c>
      <c r="D39" s="2" t="s">
        <v>75</v>
      </c>
      <c r="E39" s="2" t="s">
        <v>15</v>
      </c>
      <c r="F39" s="2" t="s">
        <v>102</v>
      </c>
      <c r="G39" s="2">
        <v>3</v>
      </c>
    </row>
    <row r="40" spans="1:9">
      <c r="A40" s="2">
        <v>4</v>
      </c>
      <c r="B40" s="2" t="s">
        <v>107</v>
      </c>
      <c r="C40" s="2" t="s">
        <v>108</v>
      </c>
      <c r="D40" s="2" t="s">
        <v>109</v>
      </c>
      <c r="E40" s="2" t="s">
        <v>110</v>
      </c>
      <c r="F40" s="2" t="s">
        <v>102</v>
      </c>
      <c r="G40" s="2">
        <v>5</v>
      </c>
    </row>
    <row r="41" spans="1:9">
      <c r="A41" s="2">
        <v>5</v>
      </c>
      <c r="B41" s="2" t="s">
        <v>111</v>
      </c>
      <c r="C41" s="2" t="s">
        <v>112</v>
      </c>
      <c r="D41" s="2" t="s">
        <v>113</v>
      </c>
      <c r="E41" s="2" t="s">
        <v>114</v>
      </c>
      <c r="F41" s="2" t="s">
        <v>102</v>
      </c>
      <c r="G41" s="2">
        <v>5</v>
      </c>
    </row>
    <row r="42" spans="1:9">
      <c r="A42" s="2">
        <v>6</v>
      </c>
      <c r="B42" s="9" t="s">
        <v>115</v>
      </c>
      <c r="C42" s="10" t="s">
        <v>116</v>
      </c>
      <c r="D42" s="10" t="s">
        <v>117</v>
      </c>
      <c r="E42" s="2" t="s">
        <v>118</v>
      </c>
      <c r="F42" s="2" t="s">
        <v>102</v>
      </c>
      <c r="G42" s="2">
        <v>5</v>
      </c>
    </row>
    <row r="43" spans="1:9">
      <c r="A43" s="29" t="s">
        <v>54</v>
      </c>
      <c r="B43" s="30"/>
      <c r="C43" s="30"/>
      <c r="D43" s="30"/>
      <c r="E43" s="30"/>
      <c r="F43" s="31"/>
      <c r="G43" s="13">
        <f>SUM(G37:G42)</f>
        <v>28</v>
      </c>
      <c r="H43" s="11"/>
      <c r="I43" s="12"/>
    </row>
    <row r="46" spans="1:9">
      <c r="A46" s="26" t="s">
        <v>120</v>
      </c>
      <c r="B46" s="27"/>
      <c r="C46" s="27"/>
      <c r="D46" s="27"/>
      <c r="E46" s="27"/>
      <c r="F46" s="27"/>
      <c r="G46" s="28"/>
      <c r="H46" s="16"/>
    </row>
    <row r="47" spans="1:9" ht="30">
      <c r="A47" s="14" t="s">
        <v>56</v>
      </c>
      <c r="B47" s="15" t="s">
        <v>1</v>
      </c>
      <c r="C47" s="15" t="s">
        <v>2</v>
      </c>
      <c r="D47" s="15" t="s">
        <v>3</v>
      </c>
      <c r="E47" s="15" t="s">
        <v>4</v>
      </c>
      <c r="F47" s="15" t="s">
        <v>5</v>
      </c>
      <c r="G47" s="15" t="s">
        <v>6</v>
      </c>
    </row>
    <row r="48" spans="1:9">
      <c r="A48" s="2">
        <v>1</v>
      </c>
      <c r="B48" s="2" t="s">
        <v>121</v>
      </c>
      <c r="C48" s="2" t="s">
        <v>122</v>
      </c>
      <c r="D48" s="2" t="s">
        <v>75</v>
      </c>
      <c r="E48" s="2" t="s">
        <v>110</v>
      </c>
      <c r="F48" s="2" t="s">
        <v>123</v>
      </c>
      <c r="G48" s="2">
        <v>3</v>
      </c>
    </row>
    <row r="49" spans="1:8">
      <c r="A49" s="2">
        <v>2</v>
      </c>
      <c r="B49" s="2" t="s">
        <v>124</v>
      </c>
      <c r="C49" s="2" t="s">
        <v>125</v>
      </c>
      <c r="D49" s="2" t="s">
        <v>126</v>
      </c>
      <c r="E49" s="2" t="s">
        <v>127</v>
      </c>
      <c r="F49" s="2" t="s">
        <v>123</v>
      </c>
      <c r="G49" s="2">
        <v>7</v>
      </c>
    </row>
    <row r="50" spans="1:8">
      <c r="A50" s="2">
        <v>3</v>
      </c>
      <c r="B50" s="2" t="s">
        <v>128</v>
      </c>
      <c r="C50" s="2" t="s">
        <v>129</v>
      </c>
      <c r="D50" s="2" t="s">
        <v>130</v>
      </c>
      <c r="E50" s="2" t="s">
        <v>15</v>
      </c>
      <c r="F50" s="2" t="s">
        <v>123</v>
      </c>
      <c r="G50" s="2">
        <v>4</v>
      </c>
    </row>
    <row r="51" spans="1:8">
      <c r="A51" s="2">
        <v>4</v>
      </c>
      <c r="B51" s="2" t="s">
        <v>131</v>
      </c>
      <c r="C51" s="2" t="s">
        <v>132</v>
      </c>
      <c r="D51" s="2" t="s">
        <v>133</v>
      </c>
      <c r="E51" s="2" t="s">
        <v>134</v>
      </c>
      <c r="F51" s="2" t="s">
        <v>123</v>
      </c>
      <c r="G51" s="2">
        <v>5</v>
      </c>
    </row>
    <row r="52" spans="1:8">
      <c r="A52" s="2">
        <v>5</v>
      </c>
      <c r="B52" s="2" t="s">
        <v>135</v>
      </c>
      <c r="C52" s="2" t="s">
        <v>136</v>
      </c>
      <c r="D52" s="2" t="s">
        <v>9</v>
      </c>
      <c r="E52" s="2" t="s">
        <v>137</v>
      </c>
      <c r="F52" s="2" t="s">
        <v>123</v>
      </c>
      <c r="G52" s="2">
        <v>4</v>
      </c>
    </row>
    <row r="53" spans="1:8">
      <c r="A53" s="2">
        <v>6</v>
      </c>
      <c r="B53" s="2" t="s">
        <v>138</v>
      </c>
      <c r="C53" s="2" t="s">
        <v>139</v>
      </c>
      <c r="D53" s="2" t="s">
        <v>45</v>
      </c>
      <c r="E53" s="2" t="s">
        <v>140</v>
      </c>
      <c r="F53" s="2" t="s">
        <v>123</v>
      </c>
      <c r="G53" s="2">
        <v>5</v>
      </c>
    </row>
    <row r="54" spans="1:8">
      <c r="A54" s="2">
        <v>7</v>
      </c>
      <c r="B54" s="2" t="s">
        <v>141</v>
      </c>
      <c r="C54" s="2" t="s">
        <v>142</v>
      </c>
      <c r="D54" s="2" t="s">
        <v>68</v>
      </c>
      <c r="E54" s="2" t="s">
        <v>143</v>
      </c>
      <c r="F54" s="2" t="s">
        <v>123</v>
      </c>
      <c r="G54" s="2">
        <v>7</v>
      </c>
    </row>
    <row r="55" spans="1:8">
      <c r="A55" s="2">
        <v>8</v>
      </c>
      <c r="B55" s="2" t="s">
        <v>144</v>
      </c>
      <c r="C55" s="2" t="s">
        <v>145</v>
      </c>
      <c r="D55" s="2" t="s">
        <v>68</v>
      </c>
      <c r="E55" s="2" t="s">
        <v>87</v>
      </c>
      <c r="F55" s="2" t="s">
        <v>123</v>
      </c>
      <c r="G55" s="2">
        <v>4</v>
      </c>
    </row>
    <row r="56" spans="1:8">
      <c r="A56" s="2">
        <v>9</v>
      </c>
      <c r="B56" s="2" t="s">
        <v>146</v>
      </c>
      <c r="C56" s="2" t="s">
        <v>147</v>
      </c>
      <c r="D56" s="2" t="s">
        <v>148</v>
      </c>
      <c r="E56" s="2" t="s">
        <v>149</v>
      </c>
      <c r="F56" s="2" t="s">
        <v>123</v>
      </c>
      <c r="G56" s="2">
        <v>4</v>
      </c>
    </row>
    <row r="57" spans="1:8">
      <c r="A57" s="2">
        <v>10</v>
      </c>
      <c r="B57" s="2" t="s">
        <v>150</v>
      </c>
      <c r="C57" s="2" t="s">
        <v>151</v>
      </c>
      <c r="D57" s="2" t="s">
        <v>152</v>
      </c>
      <c r="E57" s="2" t="s">
        <v>153</v>
      </c>
      <c r="F57" s="2" t="s">
        <v>123</v>
      </c>
      <c r="G57" s="2">
        <v>4</v>
      </c>
    </row>
    <row r="58" spans="1:8">
      <c r="A58" s="2">
        <v>11</v>
      </c>
      <c r="B58" s="2" t="s">
        <v>154</v>
      </c>
      <c r="C58" s="2" t="s">
        <v>155</v>
      </c>
      <c r="D58" s="2" t="s">
        <v>156</v>
      </c>
      <c r="E58" s="2" t="s">
        <v>157</v>
      </c>
      <c r="F58" s="2" t="s">
        <v>123</v>
      </c>
      <c r="G58" s="2">
        <v>2</v>
      </c>
    </row>
    <row r="59" spans="1:8">
      <c r="A59" s="2">
        <v>12</v>
      </c>
      <c r="B59" s="2" t="s">
        <v>158</v>
      </c>
      <c r="C59" s="2" t="s">
        <v>159</v>
      </c>
      <c r="D59" s="2" t="s">
        <v>160</v>
      </c>
      <c r="E59" s="2" t="s">
        <v>161</v>
      </c>
      <c r="F59" s="2" t="s">
        <v>123</v>
      </c>
      <c r="G59" s="2">
        <v>4</v>
      </c>
    </row>
    <row r="60" spans="1:8">
      <c r="A60" s="2">
        <v>13</v>
      </c>
      <c r="B60" s="2" t="s">
        <v>162</v>
      </c>
      <c r="C60" s="2" t="s">
        <v>163</v>
      </c>
      <c r="D60" s="2" t="s">
        <v>83</v>
      </c>
      <c r="E60" s="2" t="s">
        <v>164</v>
      </c>
      <c r="F60" s="2" t="s">
        <v>123</v>
      </c>
      <c r="G60" s="2">
        <v>4</v>
      </c>
    </row>
    <row r="61" spans="1:8">
      <c r="A61" s="32" t="s">
        <v>54</v>
      </c>
      <c r="B61" s="33"/>
      <c r="C61" s="33"/>
      <c r="D61" s="33"/>
      <c r="E61" s="33"/>
      <c r="F61" s="33"/>
      <c r="G61" s="7">
        <f>SUM(G48:G60)</f>
        <v>57</v>
      </c>
      <c r="H61" s="12"/>
    </row>
    <row r="64" spans="1:8" ht="15.75">
      <c r="A64" s="34" t="s">
        <v>165</v>
      </c>
      <c r="B64" s="34"/>
      <c r="C64" s="34"/>
      <c r="D64" s="34"/>
      <c r="E64" s="34"/>
      <c r="F64" s="34"/>
      <c r="G64" s="34"/>
      <c r="H64" s="18"/>
    </row>
    <row r="65" spans="1:8" ht="30">
      <c r="A65" s="17" t="s">
        <v>56</v>
      </c>
      <c r="B65" s="17" t="s">
        <v>1</v>
      </c>
      <c r="C65" s="17" t="s">
        <v>166</v>
      </c>
      <c r="D65" s="17" t="s">
        <v>3</v>
      </c>
      <c r="E65" s="17" t="s">
        <v>4</v>
      </c>
      <c r="F65" s="17" t="s">
        <v>5</v>
      </c>
      <c r="G65" s="17" t="s">
        <v>6</v>
      </c>
    </row>
    <row r="66" spans="1:8">
      <c r="A66" s="2">
        <v>1</v>
      </c>
      <c r="B66" s="2" t="s">
        <v>189</v>
      </c>
      <c r="C66" s="2" t="s">
        <v>220</v>
      </c>
      <c r="D66" s="2" t="s">
        <v>190</v>
      </c>
      <c r="E66" s="2" t="s">
        <v>33</v>
      </c>
      <c r="F66" s="2" t="s">
        <v>34</v>
      </c>
      <c r="G66" s="2">
        <v>8</v>
      </c>
    </row>
    <row r="67" spans="1:8">
      <c r="A67" s="2">
        <v>2</v>
      </c>
      <c r="B67" s="2" t="s">
        <v>224</v>
      </c>
      <c r="C67" s="2" t="s">
        <v>220</v>
      </c>
      <c r="D67" s="2" t="s">
        <v>223</v>
      </c>
      <c r="E67" s="2" t="s">
        <v>222</v>
      </c>
      <c r="F67" s="2" t="s">
        <v>221</v>
      </c>
      <c r="G67" s="2">
        <v>4</v>
      </c>
    </row>
    <row r="68" spans="1:8">
      <c r="A68" s="2">
        <v>3</v>
      </c>
      <c r="B68" s="2" t="s">
        <v>167</v>
      </c>
      <c r="C68" s="2" t="s">
        <v>220</v>
      </c>
      <c r="D68" s="2" t="s">
        <v>168</v>
      </c>
      <c r="E68" s="2" t="s">
        <v>169</v>
      </c>
      <c r="F68" s="2" t="s">
        <v>170</v>
      </c>
      <c r="G68" s="2">
        <v>6</v>
      </c>
    </row>
    <row r="69" spans="1:8">
      <c r="A69" s="2">
        <v>4</v>
      </c>
      <c r="B69" s="2" t="s">
        <v>171</v>
      </c>
      <c r="C69" s="2" t="s">
        <v>220</v>
      </c>
      <c r="D69" s="2" t="s">
        <v>172</v>
      </c>
      <c r="E69" s="2" t="s">
        <v>79</v>
      </c>
      <c r="F69" s="2" t="s">
        <v>80</v>
      </c>
      <c r="G69" s="2">
        <v>5</v>
      </c>
    </row>
    <row r="70" spans="1:8">
      <c r="A70" s="2">
        <v>5</v>
      </c>
      <c r="B70" s="2" t="s">
        <v>173</v>
      </c>
      <c r="C70" s="2" t="s">
        <v>220</v>
      </c>
      <c r="D70" s="2" t="s">
        <v>174</v>
      </c>
      <c r="E70" s="2" t="s">
        <v>68</v>
      </c>
      <c r="F70" s="2" t="s">
        <v>87</v>
      </c>
      <c r="G70" s="2">
        <v>4</v>
      </c>
    </row>
    <row r="71" spans="1:8">
      <c r="A71" s="2">
        <v>6</v>
      </c>
      <c r="B71" s="2" t="s">
        <v>175</v>
      </c>
      <c r="C71" s="2" t="s">
        <v>220</v>
      </c>
      <c r="D71" s="2" t="s">
        <v>176</v>
      </c>
      <c r="E71" s="2" t="s">
        <v>177</v>
      </c>
      <c r="F71" s="2" t="s">
        <v>178</v>
      </c>
      <c r="G71" s="2">
        <v>5</v>
      </c>
    </row>
    <row r="72" spans="1:8">
      <c r="A72" s="2">
        <v>7</v>
      </c>
      <c r="B72" s="2" t="s">
        <v>179</v>
      </c>
      <c r="C72" s="2" t="s">
        <v>220</v>
      </c>
      <c r="D72" s="2" t="s">
        <v>180</v>
      </c>
      <c r="E72" s="2" t="s">
        <v>181</v>
      </c>
      <c r="F72" s="2" t="s">
        <v>182</v>
      </c>
      <c r="G72" s="2">
        <v>4</v>
      </c>
    </row>
    <row r="73" spans="1:8">
      <c r="A73" s="2">
        <v>8</v>
      </c>
      <c r="B73" s="2" t="s">
        <v>183</v>
      </c>
      <c r="C73" s="2" t="s">
        <v>220</v>
      </c>
      <c r="D73" s="2" t="s">
        <v>184</v>
      </c>
      <c r="E73" s="2" t="s">
        <v>75</v>
      </c>
      <c r="F73" s="2" t="s">
        <v>110</v>
      </c>
      <c r="G73" s="2">
        <v>3</v>
      </c>
    </row>
    <row r="74" spans="1:8">
      <c r="A74" s="2">
        <v>9</v>
      </c>
      <c r="B74" s="2" t="s">
        <v>185</v>
      </c>
      <c r="C74" s="2" t="s">
        <v>220</v>
      </c>
      <c r="D74" s="2" t="s">
        <v>186</v>
      </c>
      <c r="E74" s="2" t="s">
        <v>187</v>
      </c>
      <c r="F74" s="2" t="s">
        <v>188</v>
      </c>
      <c r="G74" s="2">
        <v>4</v>
      </c>
    </row>
    <row r="75" spans="1:8">
      <c r="A75" s="32" t="s">
        <v>54</v>
      </c>
      <c r="B75" s="33"/>
      <c r="C75" s="33"/>
      <c r="D75" s="33"/>
      <c r="E75" s="33"/>
      <c r="F75" s="35"/>
      <c r="G75" s="7">
        <f>SUM(G66:G74)</f>
        <v>43</v>
      </c>
      <c r="H75" s="12"/>
    </row>
    <row r="77" spans="1:8" ht="15.75">
      <c r="A77" s="34" t="s">
        <v>165</v>
      </c>
      <c r="B77" s="34"/>
      <c r="C77" s="34"/>
      <c r="D77" s="34"/>
      <c r="E77" s="34"/>
      <c r="F77" s="34"/>
      <c r="G77" s="34"/>
    </row>
    <row r="78" spans="1:8" ht="30">
      <c r="A78" s="17" t="s">
        <v>56</v>
      </c>
      <c r="B78" s="17" t="s">
        <v>1</v>
      </c>
      <c r="C78" s="17" t="s">
        <v>166</v>
      </c>
      <c r="D78" s="17" t="s">
        <v>3</v>
      </c>
      <c r="E78" s="17" t="s">
        <v>4</v>
      </c>
      <c r="F78" s="17" t="s">
        <v>5</v>
      </c>
      <c r="G78" s="17" t="s">
        <v>6</v>
      </c>
    </row>
    <row r="79" spans="1:8">
      <c r="A79" s="2">
        <v>1</v>
      </c>
      <c r="B79" s="2" t="s">
        <v>194</v>
      </c>
      <c r="C79" s="2" t="s">
        <v>195</v>
      </c>
      <c r="D79" s="2" t="s">
        <v>196</v>
      </c>
      <c r="E79" s="2" t="s">
        <v>197</v>
      </c>
      <c r="F79" s="2" t="s">
        <v>102</v>
      </c>
      <c r="G79" s="2">
        <v>5</v>
      </c>
    </row>
    <row r="80" spans="1:8">
      <c r="A80" s="2">
        <v>2</v>
      </c>
      <c r="B80" s="2" t="s">
        <v>198</v>
      </c>
      <c r="C80" s="2" t="s">
        <v>199</v>
      </c>
      <c r="D80" s="2" t="s">
        <v>200</v>
      </c>
      <c r="E80" s="2" t="s">
        <v>188</v>
      </c>
      <c r="F80" s="2" t="s">
        <v>102</v>
      </c>
      <c r="G80" s="2">
        <v>5</v>
      </c>
    </row>
    <row r="81" spans="1:7">
      <c r="A81" s="2">
        <v>3</v>
      </c>
      <c r="B81" s="2" t="s">
        <v>201</v>
      </c>
      <c r="C81" s="2" t="s">
        <v>202</v>
      </c>
      <c r="D81" s="2" t="s">
        <v>156</v>
      </c>
      <c r="E81" s="2" t="s">
        <v>203</v>
      </c>
      <c r="F81" s="2" t="s">
        <v>102</v>
      </c>
      <c r="G81" s="2">
        <v>2</v>
      </c>
    </row>
    <row r="82" spans="1:7">
      <c r="A82" s="2">
        <v>4</v>
      </c>
      <c r="B82" s="2" t="s">
        <v>204</v>
      </c>
      <c r="C82" s="2" t="s">
        <v>205</v>
      </c>
      <c r="D82" s="2" t="s">
        <v>75</v>
      </c>
      <c r="E82" s="2" t="s">
        <v>110</v>
      </c>
      <c r="F82" s="2" t="s">
        <v>102</v>
      </c>
      <c r="G82" s="2">
        <v>3</v>
      </c>
    </row>
    <row r="83" spans="1:7">
      <c r="A83" s="2">
        <v>5</v>
      </c>
      <c r="B83" s="2" t="s">
        <v>206</v>
      </c>
      <c r="C83" s="2" t="s">
        <v>207</v>
      </c>
      <c r="D83" s="2" t="s">
        <v>33</v>
      </c>
      <c r="E83" s="2" t="s">
        <v>34</v>
      </c>
      <c r="F83" s="2" t="s">
        <v>102</v>
      </c>
      <c r="G83" s="2">
        <v>8</v>
      </c>
    </row>
    <row r="84" spans="1:7">
      <c r="A84" s="2">
        <v>6</v>
      </c>
      <c r="B84" s="2" t="s">
        <v>208</v>
      </c>
      <c r="C84" s="2" t="s">
        <v>209</v>
      </c>
      <c r="D84" s="2" t="s">
        <v>210</v>
      </c>
      <c r="E84" s="2" t="s">
        <v>211</v>
      </c>
      <c r="F84" s="2" t="s">
        <v>102</v>
      </c>
      <c r="G84" s="2">
        <v>4</v>
      </c>
    </row>
    <row r="85" spans="1:7">
      <c r="A85" s="2">
        <v>7</v>
      </c>
      <c r="B85" s="2" t="s">
        <v>212</v>
      </c>
      <c r="C85" s="2" t="s">
        <v>213</v>
      </c>
      <c r="D85" s="2" t="s">
        <v>214</v>
      </c>
      <c r="E85" s="2" t="s">
        <v>215</v>
      </c>
      <c r="F85" s="2" t="s">
        <v>102</v>
      </c>
      <c r="G85" s="2">
        <v>5</v>
      </c>
    </row>
  </sheetData>
  <mergeCells count="11">
    <mergeCell ref="A46:G46"/>
    <mergeCell ref="A61:F61"/>
    <mergeCell ref="A64:G64"/>
    <mergeCell ref="A75:F75"/>
    <mergeCell ref="A77:G77"/>
    <mergeCell ref="A32:E32"/>
    <mergeCell ref="A1:G1"/>
    <mergeCell ref="A15:F15"/>
    <mergeCell ref="A18:G18"/>
    <mergeCell ref="A43:F43"/>
    <mergeCell ref="A35:G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70"/>
  <sheetViews>
    <sheetView tabSelected="1" topLeftCell="A49" workbookViewId="0">
      <selection activeCell="B65" sqref="B65"/>
    </sheetView>
  </sheetViews>
  <sheetFormatPr defaultRowHeight="15"/>
  <cols>
    <col min="1" max="1" width="5.28515625" bestFit="1" customWidth="1"/>
    <col min="2" max="2" width="10.7109375" bestFit="1" customWidth="1"/>
    <col min="3" max="3" width="22.28515625" bestFit="1" customWidth="1"/>
    <col min="4" max="4" width="15.28515625" customWidth="1"/>
    <col min="5" max="5" width="12.5703125" bestFit="1" customWidth="1"/>
    <col min="6" max="6" width="17.5703125" customWidth="1"/>
    <col min="7" max="7" width="12.85546875" bestFit="1" customWidth="1"/>
    <col min="8" max="8" width="10.28515625" customWidth="1"/>
    <col min="9" max="9" width="10.5703125" customWidth="1"/>
    <col min="11" max="11" width="22.28515625" bestFit="1" customWidth="1"/>
    <col min="12" max="12" width="13.28515625" bestFit="1" customWidth="1"/>
  </cols>
  <sheetData>
    <row r="1" spans="1:9" ht="36.75" customHeight="1">
      <c r="A1" s="1" t="s">
        <v>56</v>
      </c>
      <c r="B1" s="1" t="s">
        <v>191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0" t="s">
        <v>218</v>
      </c>
    </row>
    <row r="2" spans="1:9">
      <c r="A2" s="2">
        <v>1</v>
      </c>
      <c r="B2" s="19">
        <v>45941</v>
      </c>
      <c r="C2" s="2" t="s">
        <v>57</v>
      </c>
      <c r="D2" s="2" t="s">
        <v>58</v>
      </c>
      <c r="E2" s="2" t="s">
        <v>18</v>
      </c>
      <c r="F2" s="2" t="s">
        <v>19</v>
      </c>
      <c r="G2" s="2" t="s">
        <v>11</v>
      </c>
      <c r="H2" s="2">
        <v>7</v>
      </c>
      <c r="I2" s="2">
        <f>H2</f>
        <v>7</v>
      </c>
    </row>
    <row r="3" spans="1:9">
      <c r="A3" s="2">
        <v>2</v>
      </c>
      <c r="B3" s="19">
        <v>45941</v>
      </c>
      <c r="C3" s="2" t="s">
        <v>59</v>
      </c>
      <c r="D3" s="2" t="s">
        <v>60</v>
      </c>
      <c r="E3" s="2" t="s">
        <v>61</v>
      </c>
      <c r="F3" s="2" t="s">
        <v>62</v>
      </c>
      <c r="G3" s="2" t="s">
        <v>11</v>
      </c>
      <c r="H3" s="2">
        <v>5</v>
      </c>
      <c r="I3" s="2">
        <f>H3+I2</f>
        <v>12</v>
      </c>
    </row>
    <row r="4" spans="1:9">
      <c r="A4" s="2">
        <v>3</v>
      </c>
      <c r="B4" s="19">
        <v>45941</v>
      </c>
      <c r="C4" s="2" t="s">
        <v>63</v>
      </c>
      <c r="D4" s="2" t="s">
        <v>64</v>
      </c>
      <c r="E4" s="2" t="s">
        <v>37</v>
      </c>
      <c r="F4" s="2" t="s">
        <v>65</v>
      </c>
      <c r="G4" s="2" t="s">
        <v>11</v>
      </c>
      <c r="H4" s="2">
        <v>5</v>
      </c>
      <c r="I4" s="2">
        <f t="shared" ref="I4:I57" si="0">H4+I3</f>
        <v>17</v>
      </c>
    </row>
    <row r="5" spans="1:9">
      <c r="A5" s="2">
        <v>4</v>
      </c>
      <c r="B5" s="19">
        <v>45941</v>
      </c>
      <c r="C5" s="2" t="s">
        <v>66</v>
      </c>
      <c r="D5" s="2" t="s">
        <v>67</v>
      </c>
      <c r="E5" s="2" t="s">
        <v>68</v>
      </c>
      <c r="F5" s="2" t="s">
        <v>69</v>
      </c>
      <c r="G5" s="2" t="s">
        <v>11</v>
      </c>
      <c r="H5" s="2">
        <v>5</v>
      </c>
      <c r="I5" s="2">
        <f t="shared" si="0"/>
        <v>22</v>
      </c>
    </row>
    <row r="6" spans="1:9">
      <c r="A6" s="2">
        <v>5</v>
      </c>
      <c r="B6" s="19">
        <v>45941</v>
      </c>
      <c r="C6" s="2" t="s">
        <v>70</v>
      </c>
      <c r="D6" s="2" t="s">
        <v>71</v>
      </c>
      <c r="E6" s="2" t="s">
        <v>22</v>
      </c>
      <c r="F6" s="2" t="s">
        <v>72</v>
      </c>
      <c r="G6" s="2" t="s">
        <v>11</v>
      </c>
      <c r="H6" s="2">
        <v>5</v>
      </c>
      <c r="I6" s="2">
        <f t="shared" si="0"/>
        <v>27</v>
      </c>
    </row>
    <row r="7" spans="1:9">
      <c r="A7" s="2">
        <v>6</v>
      </c>
      <c r="B7" s="19">
        <v>45941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11</v>
      </c>
      <c r="H7" s="2">
        <v>3</v>
      </c>
      <c r="I7" s="2">
        <f t="shared" si="0"/>
        <v>30</v>
      </c>
    </row>
    <row r="8" spans="1:9">
      <c r="A8" s="2">
        <v>7</v>
      </c>
      <c r="B8" s="19">
        <v>45941</v>
      </c>
      <c r="C8" s="2" t="s">
        <v>77</v>
      </c>
      <c r="D8" s="2" t="s">
        <v>78</v>
      </c>
      <c r="E8" s="2" t="s">
        <v>79</v>
      </c>
      <c r="F8" s="2" t="s">
        <v>80</v>
      </c>
      <c r="G8" s="2" t="s">
        <v>11</v>
      </c>
      <c r="H8" s="2">
        <v>5</v>
      </c>
      <c r="I8" s="2">
        <f t="shared" si="0"/>
        <v>35</v>
      </c>
    </row>
    <row r="9" spans="1:9">
      <c r="A9" s="2">
        <v>8</v>
      </c>
      <c r="B9" s="19">
        <v>45941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11</v>
      </c>
      <c r="H9" s="2">
        <v>5</v>
      </c>
      <c r="I9" s="2">
        <f t="shared" si="0"/>
        <v>40</v>
      </c>
    </row>
    <row r="10" spans="1:9">
      <c r="A10" s="2">
        <v>9</v>
      </c>
      <c r="B10" s="19">
        <v>45941</v>
      </c>
      <c r="C10" s="2" t="s">
        <v>85</v>
      </c>
      <c r="D10" s="2" t="s">
        <v>86</v>
      </c>
      <c r="E10" s="2" t="s">
        <v>68</v>
      </c>
      <c r="F10" s="2" t="s">
        <v>87</v>
      </c>
      <c r="G10" s="2" t="s">
        <v>11</v>
      </c>
      <c r="H10" s="2">
        <v>6</v>
      </c>
      <c r="I10" s="2">
        <f t="shared" si="0"/>
        <v>46</v>
      </c>
    </row>
    <row r="11" spans="1:9">
      <c r="A11" s="2">
        <v>10</v>
      </c>
      <c r="B11" s="19">
        <v>45941</v>
      </c>
      <c r="C11" s="2" t="s">
        <v>88</v>
      </c>
      <c r="D11" s="2" t="s">
        <v>89</v>
      </c>
      <c r="E11" s="2" t="s">
        <v>18</v>
      </c>
      <c r="F11" s="2" t="s">
        <v>90</v>
      </c>
      <c r="G11" s="2" t="s">
        <v>11</v>
      </c>
      <c r="H11" s="2">
        <v>7</v>
      </c>
      <c r="I11" s="2">
        <f t="shared" si="0"/>
        <v>53</v>
      </c>
    </row>
    <row r="12" spans="1:9">
      <c r="A12" s="2">
        <v>11</v>
      </c>
      <c r="B12" s="19">
        <v>45941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11</v>
      </c>
      <c r="H12" s="2">
        <v>4</v>
      </c>
      <c r="I12" s="2">
        <f t="shared" si="0"/>
        <v>57</v>
      </c>
    </row>
    <row r="13" spans="1:9">
      <c r="A13" s="2">
        <v>12</v>
      </c>
      <c r="B13" s="19">
        <v>45941</v>
      </c>
      <c r="C13" s="6" t="s">
        <v>95</v>
      </c>
      <c r="D13" s="6" t="s">
        <v>96</v>
      </c>
      <c r="E13" s="6" t="s">
        <v>97</v>
      </c>
      <c r="F13" s="6" t="s">
        <v>98</v>
      </c>
      <c r="G13" s="2" t="s">
        <v>11</v>
      </c>
      <c r="H13" s="6">
        <v>5</v>
      </c>
      <c r="I13" s="2">
        <f t="shared" si="0"/>
        <v>62</v>
      </c>
    </row>
    <row r="14" spans="1:9">
      <c r="A14" s="2">
        <v>13</v>
      </c>
      <c r="B14" s="19">
        <v>45972</v>
      </c>
      <c r="C14" s="2" t="s">
        <v>7</v>
      </c>
      <c r="D14" s="2" t="s">
        <v>8</v>
      </c>
      <c r="E14" s="2" t="s">
        <v>9</v>
      </c>
      <c r="F14" s="2" t="s">
        <v>10</v>
      </c>
      <c r="G14" s="2" t="s">
        <v>11</v>
      </c>
      <c r="H14" s="2">
        <v>4</v>
      </c>
      <c r="I14" s="2">
        <f t="shared" si="0"/>
        <v>66</v>
      </c>
    </row>
    <row r="15" spans="1:9">
      <c r="A15" s="2">
        <v>14</v>
      </c>
      <c r="B15" s="19">
        <v>45972</v>
      </c>
      <c r="C15" s="2" t="s">
        <v>12</v>
      </c>
      <c r="D15" s="2" t="s">
        <v>13</v>
      </c>
      <c r="E15" s="2" t="s">
        <v>14</v>
      </c>
      <c r="F15" s="2" t="s">
        <v>15</v>
      </c>
      <c r="G15" s="2" t="s">
        <v>11</v>
      </c>
      <c r="H15" s="2">
        <v>5</v>
      </c>
      <c r="I15" s="2">
        <f t="shared" si="0"/>
        <v>71</v>
      </c>
    </row>
    <row r="16" spans="1:9">
      <c r="A16" s="2">
        <v>15</v>
      </c>
      <c r="B16" s="19">
        <v>45972</v>
      </c>
      <c r="C16" s="2" t="s">
        <v>16</v>
      </c>
      <c r="D16" s="2" t="s">
        <v>17</v>
      </c>
      <c r="E16" s="2" t="s">
        <v>18</v>
      </c>
      <c r="F16" s="2" t="s">
        <v>19</v>
      </c>
      <c r="G16" s="2" t="s">
        <v>11</v>
      </c>
      <c r="H16" s="2">
        <v>7</v>
      </c>
      <c r="I16" s="2">
        <f t="shared" si="0"/>
        <v>78</v>
      </c>
    </row>
    <row r="17" spans="1:9">
      <c r="A17" s="2">
        <v>16</v>
      </c>
      <c r="B17" s="19">
        <v>45972</v>
      </c>
      <c r="C17" s="2" t="s">
        <v>20</v>
      </c>
      <c r="D17" s="2" t="s">
        <v>21</v>
      </c>
      <c r="E17" s="2" t="s">
        <v>22</v>
      </c>
      <c r="F17" s="2" t="s">
        <v>23</v>
      </c>
      <c r="G17" s="2" t="s">
        <v>11</v>
      </c>
      <c r="H17" s="2">
        <v>6</v>
      </c>
      <c r="I17" s="2">
        <f t="shared" si="0"/>
        <v>84</v>
      </c>
    </row>
    <row r="18" spans="1:9">
      <c r="A18" s="2">
        <v>17</v>
      </c>
      <c r="B18" s="19">
        <v>45972</v>
      </c>
      <c r="C18" s="2" t="s">
        <v>24</v>
      </c>
      <c r="D18" s="2" t="s">
        <v>25</v>
      </c>
      <c r="E18" s="2" t="s">
        <v>14</v>
      </c>
      <c r="F18" s="2" t="s">
        <v>26</v>
      </c>
      <c r="G18" s="2" t="s">
        <v>11</v>
      </c>
      <c r="H18" s="2">
        <v>5</v>
      </c>
      <c r="I18" s="2">
        <f t="shared" si="0"/>
        <v>89</v>
      </c>
    </row>
    <row r="19" spans="1:9">
      <c r="A19" s="2">
        <v>18</v>
      </c>
      <c r="B19" s="19">
        <v>45972</v>
      </c>
      <c r="C19" s="2" t="s">
        <v>27</v>
      </c>
      <c r="D19" s="2" t="s">
        <v>28</v>
      </c>
      <c r="E19" s="2" t="s">
        <v>29</v>
      </c>
      <c r="F19" s="2" t="s">
        <v>30</v>
      </c>
      <c r="G19" s="2" t="s">
        <v>11</v>
      </c>
      <c r="H19" s="2">
        <v>5</v>
      </c>
      <c r="I19" s="2">
        <f t="shared" si="0"/>
        <v>94</v>
      </c>
    </row>
    <row r="20" spans="1:9">
      <c r="A20" s="2">
        <v>19</v>
      </c>
      <c r="B20" s="19">
        <v>45972</v>
      </c>
      <c r="C20" s="2" t="s">
        <v>31</v>
      </c>
      <c r="D20" s="2" t="s">
        <v>32</v>
      </c>
      <c r="E20" s="2" t="s">
        <v>33</v>
      </c>
      <c r="F20" s="2" t="s">
        <v>34</v>
      </c>
      <c r="G20" s="2" t="s">
        <v>11</v>
      </c>
      <c r="H20" s="2">
        <v>9</v>
      </c>
      <c r="I20" s="2">
        <f t="shared" si="0"/>
        <v>103</v>
      </c>
    </row>
    <row r="21" spans="1:9">
      <c r="A21" s="2">
        <v>20</v>
      </c>
      <c r="B21" s="19">
        <v>45972</v>
      </c>
      <c r="C21" s="2" t="s">
        <v>35</v>
      </c>
      <c r="D21" s="2" t="s">
        <v>36</v>
      </c>
      <c r="E21" s="2" t="s">
        <v>37</v>
      </c>
      <c r="F21" s="2" t="s">
        <v>38</v>
      </c>
      <c r="G21" s="2" t="s">
        <v>11</v>
      </c>
      <c r="H21" s="2">
        <v>5</v>
      </c>
      <c r="I21" s="2">
        <f t="shared" si="0"/>
        <v>108</v>
      </c>
    </row>
    <row r="22" spans="1:9">
      <c r="A22" s="2">
        <v>21</v>
      </c>
      <c r="B22" s="19">
        <v>45972</v>
      </c>
      <c r="C22" s="2" t="s">
        <v>39</v>
      </c>
      <c r="D22" s="2" t="s">
        <v>40</v>
      </c>
      <c r="E22" s="2" t="s">
        <v>41</v>
      </c>
      <c r="F22" s="2" t="s">
        <v>42</v>
      </c>
      <c r="G22" s="2" t="s">
        <v>11</v>
      </c>
      <c r="H22" s="2">
        <v>4</v>
      </c>
      <c r="I22" s="2">
        <f t="shared" si="0"/>
        <v>112</v>
      </c>
    </row>
    <row r="23" spans="1:9">
      <c r="A23" s="2">
        <v>22</v>
      </c>
      <c r="B23" s="19">
        <v>45972</v>
      </c>
      <c r="C23" s="2" t="s">
        <v>43</v>
      </c>
      <c r="D23" s="2" t="s">
        <v>44</v>
      </c>
      <c r="E23" s="2" t="s">
        <v>45</v>
      </c>
      <c r="F23" s="2" t="s">
        <v>46</v>
      </c>
      <c r="G23" s="2" t="s">
        <v>11</v>
      </c>
      <c r="H23" s="2">
        <v>4</v>
      </c>
      <c r="I23" s="2">
        <f t="shared" si="0"/>
        <v>116</v>
      </c>
    </row>
    <row r="24" spans="1:9">
      <c r="A24" s="2">
        <v>23</v>
      </c>
      <c r="B24" s="19">
        <v>45972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11</v>
      </c>
      <c r="H24" s="2">
        <v>6</v>
      </c>
      <c r="I24" s="2">
        <f t="shared" si="0"/>
        <v>122</v>
      </c>
    </row>
    <row r="25" spans="1:9">
      <c r="A25" s="2">
        <v>24</v>
      </c>
      <c r="B25" s="19">
        <v>45972</v>
      </c>
      <c r="C25" s="2" t="s">
        <v>51</v>
      </c>
      <c r="D25" s="2" t="s">
        <v>52</v>
      </c>
      <c r="E25" s="2" t="s">
        <v>14</v>
      </c>
      <c r="F25" s="2" t="s">
        <v>53</v>
      </c>
      <c r="G25" s="2" t="s">
        <v>11</v>
      </c>
      <c r="H25" s="2">
        <v>5</v>
      </c>
      <c r="I25" s="2">
        <f t="shared" si="0"/>
        <v>127</v>
      </c>
    </row>
    <row r="26" spans="1:9">
      <c r="A26" s="2">
        <v>25</v>
      </c>
      <c r="B26" s="19">
        <v>46002</v>
      </c>
      <c r="C26" s="2" t="s">
        <v>99</v>
      </c>
      <c r="D26" s="2" t="s">
        <v>100</v>
      </c>
      <c r="E26" s="2" t="s">
        <v>14</v>
      </c>
      <c r="F26" s="2" t="s">
        <v>101</v>
      </c>
      <c r="G26" s="2" t="s">
        <v>11</v>
      </c>
      <c r="H26" s="2">
        <v>6</v>
      </c>
      <c r="I26" s="2">
        <f t="shared" si="0"/>
        <v>133</v>
      </c>
    </row>
    <row r="27" spans="1:9">
      <c r="A27" s="2">
        <v>26</v>
      </c>
      <c r="B27" s="19">
        <v>46002</v>
      </c>
      <c r="C27" s="2" t="s">
        <v>103</v>
      </c>
      <c r="D27" s="2" t="s">
        <v>104</v>
      </c>
      <c r="E27" s="2" t="s">
        <v>41</v>
      </c>
      <c r="F27" s="2" t="s">
        <v>15</v>
      </c>
      <c r="G27" s="2" t="s">
        <v>11</v>
      </c>
      <c r="H27" s="2">
        <v>4</v>
      </c>
      <c r="I27" s="2">
        <f t="shared" si="0"/>
        <v>137</v>
      </c>
    </row>
    <row r="28" spans="1:9">
      <c r="A28" s="2">
        <v>27</v>
      </c>
      <c r="B28" s="19">
        <v>46002</v>
      </c>
      <c r="C28" s="2" t="s">
        <v>105</v>
      </c>
      <c r="D28" s="2" t="s">
        <v>106</v>
      </c>
      <c r="E28" s="2" t="s">
        <v>75</v>
      </c>
      <c r="F28" s="2" t="s">
        <v>15</v>
      </c>
      <c r="G28" s="2" t="s">
        <v>11</v>
      </c>
      <c r="H28" s="2">
        <v>3</v>
      </c>
      <c r="I28" s="2">
        <f t="shared" si="0"/>
        <v>140</v>
      </c>
    </row>
    <row r="29" spans="1:9">
      <c r="A29" s="2">
        <v>28</v>
      </c>
      <c r="B29" s="19">
        <v>46002</v>
      </c>
      <c r="C29" s="2" t="s">
        <v>107</v>
      </c>
      <c r="D29" s="2" t="s">
        <v>108</v>
      </c>
      <c r="E29" s="2" t="s">
        <v>109</v>
      </c>
      <c r="F29" s="2" t="s">
        <v>110</v>
      </c>
      <c r="G29" s="2" t="s">
        <v>11</v>
      </c>
      <c r="H29" s="2">
        <v>5</v>
      </c>
      <c r="I29" s="2">
        <f t="shared" si="0"/>
        <v>145</v>
      </c>
    </row>
    <row r="30" spans="1:9">
      <c r="A30" s="2">
        <v>29</v>
      </c>
      <c r="B30" s="19">
        <v>46002</v>
      </c>
      <c r="C30" s="2" t="s">
        <v>111</v>
      </c>
      <c r="D30" s="2" t="s">
        <v>112</v>
      </c>
      <c r="E30" s="2" t="s">
        <v>113</v>
      </c>
      <c r="F30" s="2" t="s">
        <v>114</v>
      </c>
      <c r="G30" s="2" t="s">
        <v>11</v>
      </c>
      <c r="H30" s="2">
        <v>5</v>
      </c>
      <c r="I30" s="2">
        <f t="shared" si="0"/>
        <v>150</v>
      </c>
    </row>
    <row r="31" spans="1:9">
      <c r="A31" s="2">
        <v>30</v>
      </c>
      <c r="B31" s="19">
        <v>46002</v>
      </c>
      <c r="C31" s="9" t="s">
        <v>115</v>
      </c>
      <c r="D31" s="10" t="s">
        <v>116</v>
      </c>
      <c r="E31" s="10" t="s">
        <v>117</v>
      </c>
      <c r="F31" s="2" t="s">
        <v>118</v>
      </c>
      <c r="G31" s="2" t="s">
        <v>11</v>
      </c>
      <c r="H31" s="2">
        <v>5</v>
      </c>
      <c r="I31" s="2">
        <f t="shared" si="0"/>
        <v>155</v>
      </c>
    </row>
    <row r="32" spans="1:9">
      <c r="A32" s="2">
        <v>31</v>
      </c>
      <c r="B32" s="2" t="s">
        <v>192</v>
      </c>
      <c r="C32" s="2" t="s">
        <v>121</v>
      </c>
      <c r="D32" s="2" t="s">
        <v>122</v>
      </c>
      <c r="E32" s="2" t="s">
        <v>75</v>
      </c>
      <c r="F32" s="2" t="s">
        <v>110</v>
      </c>
      <c r="G32" s="2" t="s">
        <v>11</v>
      </c>
      <c r="H32" s="2">
        <v>3</v>
      </c>
      <c r="I32" s="2">
        <f t="shared" si="0"/>
        <v>158</v>
      </c>
    </row>
    <row r="33" spans="1:9">
      <c r="A33" s="2">
        <v>32</v>
      </c>
      <c r="B33" s="2" t="s">
        <v>192</v>
      </c>
      <c r="C33" s="2" t="s">
        <v>124</v>
      </c>
      <c r="D33" s="2" t="s">
        <v>125</v>
      </c>
      <c r="E33" s="2" t="s">
        <v>126</v>
      </c>
      <c r="F33" s="2" t="s">
        <v>127</v>
      </c>
      <c r="G33" s="2" t="s">
        <v>11</v>
      </c>
      <c r="H33" s="2">
        <v>7</v>
      </c>
      <c r="I33" s="2">
        <f t="shared" si="0"/>
        <v>165</v>
      </c>
    </row>
    <row r="34" spans="1:9">
      <c r="A34" s="2">
        <v>33</v>
      </c>
      <c r="B34" s="2" t="s">
        <v>192</v>
      </c>
      <c r="C34" s="2" t="s">
        <v>128</v>
      </c>
      <c r="D34" s="2" t="s">
        <v>129</v>
      </c>
      <c r="E34" s="2" t="s">
        <v>130</v>
      </c>
      <c r="F34" s="2" t="s">
        <v>15</v>
      </c>
      <c r="G34" s="2" t="s">
        <v>11</v>
      </c>
      <c r="H34" s="2">
        <v>4</v>
      </c>
      <c r="I34" s="2">
        <f t="shared" si="0"/>
        <v>169</v>
      </c>
    </row>
    <row r="35" spans="1:9">
      <c r="A35" s="2">
        <v>34</v>
      </c>
      <c r="B35" s="2" t="s">
        <v>192</v>
      </c>
      <c r="C35" s="2" t="s">
        <v>131</v>
      </c>
      <c r="D35" s="2" t="s">
        <v>132</v>
      </c>
      <c r="E35" s="2" t="s">
        <v>133</v>
      </c>
      <c r="F35" s="2" t="s">
        <v>134</v>
      </c>
      <c r="G35" s="2" t="s">
        <v>11</v>
      </c>
      <c r="H35" s="2">
        <v>5</v>
      </c>
      <c r="I35" s="2">
        <f t="shared" si="0"/>
        <v>174</v>
      </c>
    </row>
    <row r="36" spans="1:9">
      <c r="A36" s="2">
        <v>35</v>
      </c>
      <c r="B36" s="2" t="s">
        <v>192</v>
      </c>
      <c r="C36" s="2" t="s">
        <v>135</v>
      </c>
      <c r="D36" s="2" t="s">
        <v>136</v>
      </c>
      <c r="E36" s="2" t="s">
        <v>9</v>
      </c>
      <c r="F36" s="2" t="s">
        <v>137</v>
      </c>
      <c r="G36" s="2" t="s">
        <v>11</v>
      </c>
      <c r="H36" s="2">
        <v>4</v>
      </c>
      <c r="I36" s="2">
        <f t="shared" si="0"/>
        <v>178</v>
      </c>
    </row>
    <row r="37" spans="1:9">
      <c r="A37" s="2">
        <v>36</v>
      </c>
      <c r="B37" s="2" t="s">
        <v>192</v>
      </c>
      <c r="C37" s="2" t="s">
        <v>138</v>
      </c>
      <c r="D37" s="2" t="s">
        <v>139</v>
      </c>
      <c r="E37" s="2" t="s">
        <v>45</v>
      </c>
      <c r="F37" s="2" t="s">
        <v>140</v>
      </c>
      <c r="G37" s="2" t="s">
        <v>11</v>
      </c>
      <c r="H37" s="2">
        <v>5</v>
      </c>
      <c r="I37" s="2">
        <f t="shared" si="0"/>
        <v>183</v>
      </c>
    </row>
    <row r="38" spans="1:9">
      <c r="A38" s="2">
        <v>37</v>
      </c>
      <c r="B38" s="2" t="s">
        <v>192</v>
      </c>
      <c r="C38" s="2" t="s">
        <v>141</v>
      </c>
      <c r="D38" s="2" t="s">
        <v>142</v>
      </c>
      <c r="E38" s="2" t="s">
        <v>126</v>
      </c>
      <c r="F38" s="2" t="s">
        <v>127</v>
      </c>
      <c r="G38" s="2" t="s">
        <v>11</v>
      </c>
      <c r="H38" s="2">
        <v>7</v>
      </c>
      <c r="I38" s="2">
        <f t="shared" si="0"/>
        <v>190</v>
      </c>
    </row>
    <row r="39" spans="1:9">
      <c r="A39" s="2">
        <v>38</v>
      </c>
      <c r="B39" s="2" t="s">
        <v>192</v>
      </c>
      <c r="C39" s="2" t="s">
        <v>144</v>
      </c>
      <c r="D39" s="2" t="s">
        <v>145</v>
      </c>
      <c r="E39" s="2" t="s">
        <v>68</v>
      </c>
      <c r="F39" s="2" t="s">
        <v>87</v>
      </c>
      <c r="G39" s="2" t="s">
        <v>11</v>
      </c>
      <c r="H39" s="2">
        <v>4</v>
      </c>
      <c r="I39" s="2">
        <f t="shared" si="0"/>
        <v>194</v>
      </c>
    </row>
    <row r="40" spans="1:9">
      <c r="A40" s="2">
        <v>39</v>
      </c>
      <c r="B40" s="2" t="s">
        <v>192</v>
      </c>
      <c r="C40" s="2" t="s">
        <v>146</v>
      </c>
      <c r="D40" s="2" t="s">
        <v>147</v>
      </c>
      <c r="E40" s="2" t="s">
        <v>148</v>
      </c>
      <c r="F40" s="2" t="s">
        <v>149</v>
      </c>
      <c r="G40" s="2" t="s">
        <v>11</v>
      </c>
      <c r="H40" s="2">
        <v>4</v>
      </c>
      <c r="I40" s="2">
        <f t="shared" si="0"/>
        <v>198</v>
      </c>
    </row>
    <row r="41" spans="1:9">
      <c r="A41" s="2">
        <v>40</v>
      </c>
      <c r="B41" s="2" t="s">
        <v>192</v>
      </c>
      <c r="C41" s="2" t="s">
        <v>154</v>
      </c>
      <c r="D41" s="2" t="s">
        <v>155</v>
      </c>
      <c r="E41" s="2" t="s">
        <v>156</v>
      </c>
      <c r="F41" s="2" t="s">
        <v>157</v>
      </c>
      <c r="G41" s="2" t="s">
        <v>11</v>
      </c>
      <c r="H41" s="2">
        <v>2</v>
      </c>
      <c r="I41" s="2">
        <f t="shared" si="0"/>
        <v>200</v>
      </c>
    </row>
    <row r="42" spans="1:9">
      <c r="A42" s="2">
        <v>41</v>
      </c>
      <c r="B42" s="2" t="s">
        <v>192</v>
      </c>
      <c r="C42" s="2" t="s">
        <v>158</v>
      </c>
      <c r="D42" s="2" t="s">
        <v>159</v>
      </c>
      <c r="E42" s="2" t="s">
        <v>160</v>
      </c>
      <c r="F42" s="2" t="s">
        <v>161</v>
      </c>
      <c r="G42" s="2" t="s">
        <v>11</v>
      </c>
      <c r="H42" s="2">
        <v>4</v>
      </c>
      <c r="I42" s="2">
        <f t="shared" si="0"/>
        <v>204</v>
      </c>
    </row>
    <row r="43" spans="1:9">
      <c r="A43" s="2">
        <v>42</v>
      </c>
      <c r="B43" s="2" t="s">
        <v>192</v>
      </c>
      <c r="C43" s="2" t="s">
        <v>162</v>
      </c>
      <c r="D43" s="2" t="s">
        <v>163</v>
      </c>
      <c r="E43" s="2" t="s">
        <v>83</v>
      </c>
      <c r="F43" s="2" t="s">
        <v>164</v>
      </c>
      <c r="G43" s="2" t="s">
        <v>11</v>
      </c>
      <c r="H43" s="2">
        <v>4</v>
      </c>
      <c r="I43" s="2">
        <f t="shared" si="0"/>
        <v>208</v>
      </c>
    </row>
    <row r="44" spans="1:9">
      <c r="A44" s="2">
        <v>43</v>
      </c>
      <c r="B44" s="2" t="s">
        <v>193</v>
      </c>
      <c r="C44" s="2" t="s">
        <v>189</v>
      </c>
      <c r="D44" s="2" t="s">
        <v>190</v>
      </c>
      <c r="E44" s="2" t="s">
        <v>33</v>
      </c>
      <c r="F44" s="2" t="s">
        <v>34</v>
      </c>
      <c r="G44" s="2" t="s">
        <v>11</v>
      </c>
      <c r="H44" s="2">
        <v>8</v>
      </c>
      <c r="I44" s="2">
        <f t="shared" si="0"/>
        <v>216</v>
      </c>
    </row>
    <row r="45" spans="1:9">
      <c r="A45" s="2">
        <v>44</v>
      </c>
      <c r="B45" s="2" t="s">
        <v>193</v>
      </c>
      <c r="C45" s="2" t="s">
        <v>224</v>
      </c>
      <c r="D45" s="2" t="s">
        <v>223</v>
      </c>
      <c r="E45" s="2" t="s">
        <v>222</v>
      </c>
      <c r="F45" s="2" t="s">
        <v>221</v>
      </c>
      <c r="G45" s="2" t="s">
        <v>11</v>
      </c>
      <c r="H45" s="2">
        <v>4</v>
      </c>
      <c r="I45" s="2">
        <f t="shared" si="0"/>
        <v>220</v>
      </c>
    </row>
    <row r="46" spans="1:9">
      <c r="A46" s="2">
        <v>45</v>
      </c>
      <c r="B46" s="2" t="s">
        <v>193</v>
      </c>
      <c r="C46" s="2" t="s">
        <v>167</v>
      </c>
      <c r="D46" s="2" t="s">
        <v>168</v>
      </c>
      <c r="E46" s="2" t="s">
        <v>169</v>
      </c>
      <c r="F46" s="2" t="s">
        <v>170</v>
      </c>
      <c r="G46" s="2" t="s">
        <v>11</v>
      </c>
      <c r="H46" s="2">
        <v>6</v>
      </c>
      <c r="I46" s="2">
        <f t="shared" si="0"/>
        <v>226</v>
      </c>
    </row>
    <row r="47" spans="1:9">
      <c r="A47" s="2">
        <v>46</v>
      </c>
      <c r="B47" s="2" t="s">
        <v>193</v>
      </c>
      <c r="C47" s="2" t="s">
        <v>171</v>
      </c>
      <c r="D47" s="2" t="s">
        <v>172</v>
      </c>
      <c r="E47" s="2" t="s">
        <v>79</v>
      </c>
      <c r="F47" s="2" t="s">
        <v>80</v>
      </c>
      <c r="G47" s="2" t="s">
        <v>11</v>
      </c>
      <c r="H47" s="2">
        <v>5</v>
      </c>
      <c r="I47" s="2">
        <f t="shared" si="0"/>
        <v>231</v>
      </c>
    </row>
    <row r="48" spans="1:9">
      <c r="A48" s="2">
        <v>47</v>
      </c>
      <c r="B48" s="2" t="s">
        <v>193</v>
      </c>
      <c r="C48" s="2" t="s">
        <v>173</v>
      </c>
      <c r="D48" s="2" t="s">
        <v>174</v>
      </c>
      <c r="E48" s="2" t="s">
        <v>68</v>
      </c>
      <c r="F48" s="2" t="s">
        <v>87</v>
      </c>
      <c r="G48" s="2" t="s">
        <v>11</v>
      </c>
      <c r="H48" s="2">
        <v>4</v>
      </c>
      <c r="I48" s="2">
        <f t="shared" si="0"/>
        <v>235</v>
      </c>
    </row>
    <row r="49" spans="1:9">
      <c r="A49" s="2">
        <v>48</v>
      </c>
      <c r="B49" s="2" t="s">
        <v>193</v>
      </c>
      <c r="C49" s="2" t="s">
        <v>175</v>
      </c>
      <c r="D49" s="2" t="s">
        <v>176</v>
      </c>
      <c r="E49" s="2" t="s">
        <v>177</v>
      </c>
      <c r="F49" s="2" t="s">
        <v>178</v>
      </c>
      <c r="G49" s="2" t="s">
        <v>11</v>
      </c>
      <c r="H49" s="2">
        <v>5</v>
      </c>
      <c r="I49" s="2">
        <f t="shared" si="0"/>
        <v>240</v>
      </c>
    </row>
    <row r="50" spans="1:9">
      <c r="A50" s="2">
        <v>49</v>
      </c>
      <c r="B50" s="2" t="s">
        <v>193</v>
      </c>
      <c r="C50" s="2" t="s">
        <v>179</v>
      </c>
      <c r="D50" s="2" t="s">
        <v>180</v>
      </c>
      <c r="E50" s="2" t="s">
        <v>181</v>
      </c>
      <c r="F50" s="2" t="s">
        <v>182</v>
      </c>
      <c r="G50" s="2" t="s">
        <v>11</v>
      </c>
      <c r="H50" s="2">
        <v>4</v>
      </c>
      <c r="I50" s="2">
        <f t="shared" si="0"/>
        <v>244</v>
      </c>
    </row>
    <row r="51" spans="1:9">
      <c r="A51" s="2">
        <v>50</v>
      </c>
      <c r="B51" s="2" t="s">
        <v>193</v>
      </c>
      <c r="C51" s="2" t="s">
        <v>183</v>
      </c>
      <c r="D51" s="2" t="s">
        <v>184</v>
      </c>
      <c r="E51" s="2" t="s">
        <v>75</v>
      </c>
      <c r="F51" s="2" t="s">
        <v>110</v>
      </c>
      <c r="G51" s="2" t="s">
        <v>11</v>
      </c>
      <c r="H51" s="2">
        <v>3</v>
      </c>
      <c r="I51" s="2">
        <f t="shared" si="0"/>
        <v>247</v>
      </c>
    </row>
    <row r="52" spans="1:9">
      <c r="A52" s="2">
        <v>51</v>
      </c>
      <c r="B52" s="2" t="s">
        <v>193</v>
      </c>
      <c r="C52" s="2" t="s">
        <v>185</v>
      </c>
      <c r="D52" s="2" t="s">
        <v>186</v>
      </c>
      <c r="E52" s="2" t="s">
        <v>187</v>
      </c>
      <c r="F52" s="2" t="s">
        <v>188</v>
      </c>
      <c r="G52" s="2" t="s">
        <v>11</v>
      </c>
      <c r="H52" s="2">
        <v>4</v>
      </c>
      <c r="I52" s="2">
        <f t="shared" si="0"/>
        <v>251</v>
      </c>
    </row>
    <row r="53" spans="1:9">
      <c r="A53" s="2">
        <v>52</v>
      </c>
      <c r="B53" s="2" t="s">
        <v>217</v>
      </c>
      <c r="C53" s="2" t="s">
        <v>201</v>
      </c>
      <c r="D53" s="2" t="s">
        <v>202</v>
      </c>
      <c r="E53" s="2" t="s">
        <v>156</v>
      </c>
      <c r="F53" s="2" t="s">
        <v>203</v>
      </c>
      <c r="G53" s="2" t="s">
        <v>11</v>
      </c>
      <c r="H53" s="2">
        <v>2</v>
      </c>
      <c r="I53" s="2">
        <f t="shared" si="0"/>
        <v>253</v>
      </c>
    </row>
    <row r="54" spans="1:9">
      <c r="A54" s="2">
        <v>53</v>
      </c>
      <c r="B54" s="2" t="s">
        <v>217</v>
      </c>
      <c r="C54" s="2" t="s">
        <v>204</v>
      </c>
      <c r="D54" s="2" t="s">
        <v>205</v>
      </c>
      <c r="E54" s="2" t="s">
        <v>75</v>
      </c>
      <c r="F54" s="2" t="s">
        <v>110</v>
      </c>
      <c r="G54" s="2" t="s">
        <v>11</v>
      </c>
      <c r="H54" s="2">
        <v>3</v>
      </c>
      <c r="I54" s="2">
        <f t="shared" si="0"/>
        <v>256</v>
      </c>
    </row>
    <row r="55" spans="1:9">
      <c r="A55" s="2">
        <v>54</v>
      </c>
      <c r="B55" s="2" t="s">
        <v>217</v>
      </c>
      <c r="C55" s="2" t="s">
        <v>206</v>
      </c>
      <c r="D55" s="2" t="s">
        <v>207</v>
      </c>
      <c r="E55" s="2" t="s">
        <v>33</v>
      </c>
      <c r="F55" s="2" t="s">
        <v>34</v>
      </c>
      <c r="G55" s="2" t="s">
        <v>11</v>
      </c>
      <c r="H55" s="2">
        <v>8</v>
      </c>
      <c r="I55" s="2">
        <f t="shared" si="0"/>
        <v>264</v>
      </c>
    </row>
    <row r="56" spans="1:9">
      <c r="A56" s="2">
        <v>55</v>
      </c>
      <c r="B56" s="2" t="s">
        <v>217</v>
      </c>
      <c r="C56" s="2" t="s">
        <v>208</v>
      </c>
      <c r="D56" s="2" t="s">
        <v>209</v>
      </c>
      <c r="E56" s="2" t="s">
        <v>210</v>
      </c>
      <c r="F56" s="2" t="s">
        <v>216</v>
      </c>
      <c r="G56" s="2" t="s">
        <v>11</v>
      </c>
      <c r="H56" s="2">
        <v>4</v>
      </c>
      <c r="I56" s="2">
        <f t="shared" si="0"/>
        <v>268</v>
      </c>
    </row>
    <row r="57" spans="1:9">
      <c r="A57" s="2">
        <v>56</v>
      </c>
      <c r="B57" s="2" t="s">
        <v>217</v>
      </c>
      <c r="C57" s="2" t="s">
        <v>212</v>
      </c>
      <c r="D57" s="2" t="s">
        <v>213</v>
      </c>
      <c r="E57" s="2" t="s">
        <v>214</v>
      </c>
      <c r="F57" s="2" t="s">
        <v>215</v>
      </c>
      <c r="G57" s="2" t="s">
        <v>11</v>
      </c>
      <c r="H57" s="2">
        <v>5</v>
      </c>
      <c r="I57" s="2">
        <f t="shared" si="0"/>
        <v>273</v>
      </c>
    </row>
    <row r="58" spans="1:9">
      <c r="A58" s="32" t="s">
        <v>219</v>
      </c>
      <c r="B58" s="33"/>
      <c r="C58" s="33"/>
      <c r="D58" s="33"/>
      <c r="E58" s="33"/>
      <c r="F58" s="33"/>
      <c r="G58" s="35"/>
      <c r="H58" s="32">
        <f>100*I57</f>
        <v>27300</v>
      </c>
      <c r="I58" s="35"/>
    </row>
    <row r="70" spans="9:9">
      <c r="I70" s="12"/>
    </row>
  </sheetData>
  <mergeCells count="2">
    <mergeCell ref="A58:G58"/>
    <mergeCell ref="H58:I58"/>
  </mergeCells>
  <pageMargins left="0.7" right="0.7" top="0.75" bottom="0.75" header="0.3" footer="0.3"/>
  <pageSetup paperSize="9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6"/>
  <sheetViews>
    <sheetView workbookViewId="0">
      <selection activeCell="C19" sqref="C19"/>
    </sheetView>
  </sheetViews>
  <sheetFormatPr defaultRowHeight="15"/>
  <cols>
    <col min="2" max="3" width="22.28515625" bestFit="1" customWidth="1"/>
    <col min="4" max="4" width="14" bestFit="1" customWidth="1"/>
    <col min="5" max="5" width="21" bestFit="1" customWidth="1"/>
    <col min="6" max="6" width="17" bestFit="1" customWidth="1"/>
    <col min="7" max="7" width="12.140625" bestFit="1" customWidth="1"/>
    <col min="8" max="8" width="10.140625" customWidth="1"/>
  </cols>
  <sheetData>
    <row r="1" spans="1:7">
      <c r="A1" s="26" t="s">
        <v>120</v>
      </c>
      <c r="B1" s="27"/>
      <c r="C1" s="27"/>
      <c r="D1" s="27"/>
      <c r="E1" s="27"/>
      <c r="F1" s="27"/>
      <c r="G1" s="28"/>
    </row>
    <row r="2" spans="1:7" ht="30">
      <c r="A2" s="14" t="s">
        <v>56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</row>
    <row r="3" spans="1:7">
      <c r="A3" s="2">
        <v>1</v>
      </c>
      <c r="B3" s="2" t="s">
        <v>121</v>
      </c>
      <c r="C3" s="2" t="s">
        <v>122</v>
      </c>
      <c r="D3" s="2" t="s">
        <v>75</v>
      </c>
      <c r="E3" s="2" t="s">
        <v>110</v>
      </c>
      <c r="F3" s="2" t="s">
        <v>123</v>
      </c>
      <c r="G3" s="2">
        <v>3</v>
      </c>
    </row>
    <row r="4" spans="1:7">
      <c r="A4" s="2">
        <v>2</v>
      </c>
      <c r="B4" s="2" t="s">
        <v>124</v>
      </c>
      <c r="C4" s="2" t="s">
        <v>125</v>
      </c>
      <c r="D4" s="2" t="s">
        <v>126</v>
      </c>
      <c r="E4" s="2" t="s">
        <v>127</v>
      </c>
      <c r="F4" s="2" t="s">
        <v>123</v>
      </c>
      <c r="G4" s="2">
        <v>7</v>
      </c>
    </row>
    <row r="5" spans="1:7">
      <c r="A5" s="2">
        <v>3</v>
      </c>
      <c r="B5" s="2" t="s">
        <v>128</v>
      </c>
      <c r="C5" s="2" t="s">
        <v>129</v>
      </c>
      <c r="D5" s="2" t="s">
        <v>130</v>
      </c>
      <c r="E5" s="2" t="s">
        <v>15</v>
      </c>
      <c r="F5" s="2" t="s">
        <v>123</v>
      </c>
      <c r="G5" s="2">
        <v>4</v>
      </c>
    </row>
    <row r="6" spans="1:7">
      <c r="A6" s="2">
        <v>4</v>
      </c>
      <c r="B6" s="2" t="s">
        <v>131</v>
      </c>
      <c r="C6" s="2" t="s">
        <v>132</v>
      </c>
      <c r="D6" s="2" t="s">
        <v>133</v>
      </c>
      <c r="E6" s="2" t="s">
        <v>134</v>
      </c>
      <c r="F6" s="2" t="s">
        <v>123</v>
      </c>
      <c r="G6" s="2">
        <v>5</v>
      </c>
    </row>
    <row r="7" spans="1:7">
      <c r="A7" s="2">
        <v>5</v>
      </c>
      <c r="B7" s="2" t="s">
        <v>135</v>
      </c>
      <c r="C7" s="2" t="s">
        <v>136</v>
      </c>
      <c r="D7" s="2" t="s">
        <v>9</v>
      </c>
      <c r="E7" s="2" t="s">
        <v>137</v>
      </c>
      <c r="F7" s="2" t="s">
        <v>123</v>
      </c>
      <c r="G7" s="2">
        <v>4</v>
      </c>
    </row>
    <row r="8" spans="1:7">
      <c r="A8" s="2">
        <v>6</v>
      </c>
      <c r="B8" s="2" t="s">
        <v>138</v>
      </c>
      <c r="C8" s="2" t="s">
        <v>139</v>
      </c>
      <c r="D8" s="2" t="s">
        <v>45</v>
      </c>
      <c r="E8" s="2" t="s">
        <v>140</v>
      </c>
      <c r="F8" s="2" t="s">
        <v>123</v>
      </c>
      <c r="G8" s="2">
        <v>5</v>
      </c>
    </row>
    <row r="9" spans="1:7">
      <c r="A9" s="2">
        <v>7</v>
      </c>
      <c r="B9" s="2" t="s">
        <v>141</v>
      </c>
      <c r="C9" s="2" t="s">
        <v>142</v>
      </c>
      <c r="D9" s="2" t="s">
        <v>126</v>
      </c>
      <c r="E9" s="2" t="s">
        <v>127</v>
      </c>
      <c r="F9" s="2" t="s">
        <v>123</v>
      </c>
      <c r="G9" s="2">
        <v>7</v>
      </c>
    </row>
    <row r="10" spans="1:7">
      <c r="A10" s="2">
        <v>8</v>
      </c>
      <c r="B10" s="2" t="s">
        <v>144</v>
      </c>
      <c r="C10" s="2" t="s">
        <v>145</v>
      </c>
      <c r="D10" s="2" t="s">
        <v>68</v>
      </c>
      <c r="E10" s="2" t="s">
        <v>87</v>
      </c>
      <c r="F10" s="2" t="s">
        <v>123</v>
      </c>
      <c r="G10" s="2">
        <v>4</v>
      </c>
    </row>
    <row r="11" spans="1:7">
      <c r="A11" s="2">
        <v>9</v>
      </c>
      <c r="B11" s="2" t="s">
        <v>146</v>
      </c>
      <c r="C11" s="2" t="s">
        <v>147</v>
      </c>
      <c r="D11" s="2" t="s">
        <v>148</v>
      </c>
      <c r="E11" s="2" t="s">
        <v>149</v>
      </c>
      <c r="F11" s="2" t="s">
        <v>123</v>
      </c>
      <c r="G11" s="2">
        <v>4</v>
      </c>
    </row>
    <row r="12" spans="1:7">
      <c r="A12" s="2">
        <v>10</v>
      </c>
      <c r="B12" s="2" t="s">
        <v>150</v>
      </c>
      <c r="C12" s="2" t="s">
        <v>151</v>
      </c>
      <c r="D12" s="2" t="s">
        <v>152</v>
      </c>
      <c r="E12" s="2" t="s">
        <v>153</v>
      </c>
      <c r="F12" s="2" t="s">
        <v>123</v>
      </c>
      <c r="G12" s="2">
        <v>4</v>
      </c>
    </row>
    <row r="13" spans="1:7">
      <c r="A13" s="2">
        <v>11</v>
      </c>
      <c r="B13" s="2" t="s">
        <v>154</v>
      </c>
      <c r="C13" s="2" t="s">
        <v>155</v>
      </c>
      <c r="D13" s="2" t="s">
        <v>156</v>
      </c>
      <c r="E13" s="2" t="s">
        <v>157</v>
      </c>
      <c r="F13" s="2" t="s">
        <v>123</v>
      </c>
      <c r="G13" s="2">
        <v>2</v>
      </c>
    </row>
    <row r="14" spans="1:7">
      <c r="A14" s="2">
        <v>12</v>
      </c>
      <c r="B14" s="2" t="s">
        <v>158</v>
      </c>
      <c r="C14" s="2" t="s">
        <v>159</v>
      </c>
      <c r="D14" s="2" t="s">
        <v>160</v>
      </c>
      <c r="E14" s="2" t="s">
        <v>161</v>
      </c>
      <c r="F14" s="2" t="s">
        <v>123</v>
      </c>
      <c r="G14" s="2">
        <v>4</v>
      </c>
    </row>
    <row r="15" spans="1:7">
      <c r="A15" s="2">
        <v>13</v>
      </c>
      <c r="B15" s="2" t="s">
        <v>162</v>
      </c>
      <c r="C15" s="2" t="s">
        <v>163</v>
      </c>
      <c r="D15" s="2" t="s">
        <v>83</v>
      </c>
      <c r="E15" s="2" t="s">
        <v>164</v>
      </c>
      <c r="F15" s="2" t="s">
        <v>123</v>
      </c>
      <c r="G15" s="2">
        <v>4</v>
      </c>
    </row>
    <row r="16" spans="1:7">
      <c r="A16" s="32" t="s">
        <v>54</v>
      </c>
      <c r="B16" s="33"/>
      <c r="C16" s="33"/>
      <c r="D16" s="33"/>
      <c r="E16" s="33"/>
      <c r="F16" s="33"/>
      <c r="G16" s="7">
        <f>SUM(G3:G15)</f>
        <v>57</v>
      </c>
    </row>
  </sheetData>
  <mergeCells count="2">
    <mergeCell ref="A1:G1"/>
    <mergeCell ref="A16:F16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PASS LIST WISE</vt:lpstr>
      <vt:lpstr>Sheet3</vt:lpstr>
      <vt:lpstr>'PASS LIST WISE'!Print_Titles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2025-11-15T12:28:08Z</cp:lastPrinted>
  <dcterms:created xsi:type="dcterms:W3CDTF">2025-11-14T11:31:56Z</dcterms:created>
  <dcterms:modified xsi:type="dcterms:W3CDTF">2025-11-17T05:21:08Z</dcterms:modified>
</cp:coreProperties>
</file>