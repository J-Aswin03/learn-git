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75" windowWidth="15255" windowHeight="7935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G36" i="1"/>
  <c r="H5"/>
  <c r="H6"/>
  <c r="H7" s="1"/>
  <c r="H8" s="1"/>
  <c r="H9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H35" s="1"/>
  <c r="H4"/>
  <c r="H3"/>
</calcChain>
</file>

<file path=xl/sharedStrings.xml><?xml version="1.0" encoding="utf-8"?>
<sst xmlns="http://schemas.openxmlformats.org/spreadsheetml/2006/main" count="175" uniqueCount="79">
  <si>
    <t>TSPS00391075</t>
  </si>
  <si>
    <t>TSPS00391074</t>
  </si>
  <si>
    <t>TSPS00391073</t>
  </si>
  <si>
    <t>TSPS00391072</t>
  </si>
  <si>
    <t>TSPS00391071</t>
  </si>
  <si>
    <t>TSPS00391070</t>
  </si>
  <si>
    <t>TSPS00391069</t>
  </si>
  <si>
    <t>TSPS00391068</t>
  </si>
  <si>
    <t>TSPS00391067</t>
  </si>
  <si>
    <t>TSPS00391066</t>
  </si>
  <si>
    <t>TSPS00391065</t>
  </si>
  <si>
    <t>TSPS00391064</t>
  </si>
  <si>
    <t>TSPS00391063</t>
  </si>
  <si>
    <t>TSPS00391062</t>
  </si>
  <si>
    <t>TSPS00391061</t>
  </si>
  <si>
    <t>TSPS00391060</t>
  </si>
  <si>
    <t>TSPS00391059</t>
  </si>
  <si>
    <t>TSPS00391058</t>
  </si>
  <si>
    <t>TSPS00391057</t>
  </si>
  <si>
    <t>TSPS00391056</t>
  </si>
  <si>
    <t>TSPS00391055</t>
  </si>
  <si>
    <t>TSPS00391054</t>
  </si>
  <si>
    <t>TSPS00391053</t>
  </si>
  <si>
    <t>TSPS00391052</t>
  </si>
  <si>
    <t>TSPS00391051</t>
  </si>
  <si>
    <t>TSPS00391050</t>
  </si>
  <si>
    <t>TSPS00391049</t>
  </si>
  <si>
    <t>TSPS00391048</t>
  </si>
  <si>
    <t>TSPS00391047</t>
  </si>
  <si>
    <t>TSPS00391046</t>
  </si>
  <si>
    <t>TSPS00391045</t>
  </si>
  <si>
    <t>TSPS00391044</t>
  </si>
  <si>
    <t>TSPS00391043</t>
  </si>
  <si>
    <t>S.NO</t>
  </si>
  <si>
    <t>DATE</t>
  </si>
  <si>
    <t>SECURITY PAPER NUMBER</t>
  </si>
  <si>
    <t>MINERAL</t>
  </si>
  <si>
    <t>QUANTITY</t>
  </si>
  <si>
    <t>TOTAL MT</t>
  </si>
  <si>
    <t>17/09/2025</t>
  </si>
  <si>
    <t>GLINDON BLUE METAL</t>
  </si>
  <si>
    <t>KKMCR0031</t>
  </si>
  <si>
    <t>KKM000000075214/2025</t>
  </si>
  <si>
    <t>KKM000000075213/2025</t>
  </si>
  <si>
    <t>KKM000000075211/2025</t>
  </si>
  <si>
    <t>KKM000000075209/2025</t>
  </si>
  <si>
    <t>KKM000000074954/2025</t>
  </si>
  <si>
    <t>KKM000000074953/2025</t>
  </si>
  <si>
    <t>KKM000000074952/2025</t>
  </si>
  <si>
    <t>KKM000000074951/2025</t>
  </si>
  <si>
    <t>KKM000000074950/2025</t>
  </si>
  <si>
    <t>KKM000000074949/2025</t>
  </si>
  <si>
    <t>KKM000000074948/2025</t>
  </si>
  <si>
    <t>KKM000000074947/2025</t>
  </si>
  <si>
    <t>KKM000000074946/2025</t>
  </si>
  <si>
    <t>KKM000000074945/2025</t>
  </si>
  <si>
    <t>KKM000000074943/2025</t>
  </si>
  <si>
    <t>KKM000000074942/2025</t>
  </si>
  <si>
    <t>KKM000000074941/2025</t>
  </si>
  <si>
    <t>KKM000000074940/2025</t>
  </si>
  <si>
    <t>KKM000000074939/2025</t>
  </si>
  <si>
    <t>KKM000000074938/2025</t>
  </si>
  <si>
    <t>KKM000000074935/2025</t>
  </si>
  <si>
    <t>KKM000000074932/2025</t>
  </si>
  <si>
    <t>KKM000000074931/2025</t>
  </si>
  <si>
    <t>KKM000000074929/2025</t>
  </si>
  <si>
    <t>KKM000000074927/2025</t>
  </si>
  <si>
    <t>KKM000000074924/2025</t>
  </si>
  <si>
    <t>KKM000000074922/2025</t>
  </si>
  <si>
    <t>KKM000000074921/2025</t>
  </si>
  <si>
    <t>KKM000000074919/2025</t>
  </si>
  <si>
    <t>KKM000000074917/2025</t>
  </si>
  <si>
    <t>KKM000000074915/2025</t>
  </si>
  <si>
    <t>KKM000000074912/2025</t>
  </si>
  <si>
    <t>Transit Number</t>
  </si>
  <si>
    <t>Stockyard</t>
  </si>
  <si>
    <t>KKM000000075216/2025</t>
  </si>
  <si>
    <t>ROUGH STONE</t>
  </si>
  <si>
    <t>TOTAL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</si>
</sst>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4"/>
      <color rgb="FF000000"/>
      <name val="Calibri"/>
      <family val="2"/>
    </font>
    <font>
      <b/>
      <sz val="12"/>
      <color rgb="FF000000"/>
      <name val="Calibri"/>
      <family val="2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5" fillId="0" borderId="1" xfId="0" applyFont="1" applyFill="1" applyBorder="1" applyAlignment="1">
      <alignment horizontal="center"/>
    </xf>
    <xf numFmtId="0" fontId="5" fillId="0" borderId="1" xfId="0" applyFont="1" applyBorder="1"/>
    <xf numFmtId="0" fontId="2" fillId="0" borderId="1" xfId="0" applyFont="1" applyBorder="1" applyAlignment="1">
      <alignment horizontal="center" vertical="center" wrapText="1"/>
    </xf>
    <xf numFmtId="0" fontId="3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6"/>
  <sheetViews>
    <sheetView tabSelected="1" workbookViewId="0">
      <selection activeCell="I8" sqref="I8"/>
    </sheetView>
  </sheetViews>
  <sheetFormatPr defaultRowHeight="15"/>
  <cols>
    <col min="1" max="1" width="5.85546875" bestFit="1" customWidth="1"/>
    <col min="2" max="2" width="10.7109375" bestFit="1" customWidth="1"/>
    <col min="3" max="3" width="22.28515625" bestFit="1" customWidth="1"/>
    <col min="4" max="4" width="11.28515625" bestFit="1" customWidth="1"/>
    <col min="5" max="5" width="26.85546875" bestFit="1" customWidth="1"/>
    <col min="6" max="6" width="13.85546875" bestFit="1" customWidth="1"/>
    <col min="7" max="8" width="11" bestFit="1" customWidth="1"/>
  </cols>
  <sheetData>
    <row r="1" spans="1:8" ht="18.75">
      <c r="A1" s="9" t="s">
        <v>40</v>
      </c>
      <c r="B1" s="9"/>
      <c r="C1" s="9"/>
      <c r="D1" s="9"/>
      <c r="E1" s="9"/>
      <c r="F1" s="9"/>
      <c r="G1" s="9"/>
      <c r="H1" s="9"/>
    </row>
    <row r="2" spans="1:8" ht="15.75">
      <c r="A2" s="5" t="s">
        <v>33</v>
      </c>
      <c r="B2" s="5" t="s">
        <v>34</v>
      </c>
      <c r="C2" s="3" t="s">
        <v>74</v>
      </c>
      <c r="D2" s="4" t="s">
        <v>75</v>
      </c>
      <c r="E2" s="6" t="s">
        <v>35</v>
      </c>
      <c r="F2" s="7" t="s">
        <v>36</v>
      </c>
      <c r="G2" s="8" t="s">
        <v>37</v>
      </c>
      <c r="H2" s="8" t="s">
        <v>38</v>
      </c>
    </row>
    <row r="3" spans="1:8">
      <c r="A3" s="1">
        <v>1</v>
      </c>
      <c r="B3" s="2" t="s">
        <v>39</v>
      </c>
      <c r="C3" s="1" t="s">
        <v>73</v>
      </c>
      <c r="D3" s="1" t="s">
        <v>41</v>
      </c>
      <c r="E3" s="1" t="s">
        <v>32</v>
      </c>
      <c r="F3" s="1" t="s">
        <v>77</v>
      </c>
      <c r="G3" s="1">
        <v>32</v>
      </c>
      <c r="H3" s="1">
        <f>G3</f>
        <v>32</v>
      </c>
    </row>
    <row r="4" spans="1:8">
      <c r="A4" s="1">
        <v>2</v>
      </c>
      <c r="B4" s="2" t="s">
        <v>39</v>
      </c>
      <c r="C4" s="1" t="s">
        <v>72</v>
      </c>
      <c r="D4" s="1" t="s">
        <v>41</v>
      </c>
      <c r="E4" s="1" t="s">
        <v>31</v>
      </c>
      <c r="F4" s="1" t="s">
        <v>77</v>
      </c>
      <c r="G4" s="1">
        <v>32</v>
      </c>
      <c r="H4" s="1">
        <f>G4+H3</f>
        <v>64</v>
      </c>
    </row>
    <row r="5" spans="1:8">
      <c r="A5" s="1">
        <v>3</v>
      </c>
      <c r="B5" s="2" t="s">
        <v>39</v>
      </c>
      <c r="C5" s="1" t="s">
        <v>71</v>
      </c>
      <c r="D5" s="1" t="s">
        <v>41</v>
      </c>
      <c r="E5" s="1" t="s">
        <v>30</v>
      </c>
      <c r="F5" s="1" t="s">
        <v>77</v>
      </c>
      <c r="G5" s="1">
        <v>32</v>
      </c>
      <c r="H5" s="1">
        <f t="shared" ref="H5:H35" si="0">G5+H4</f>
        <v>96</v>
      </c>
    </row>
    <row r="6" spans="1:8">
      <c r="A6" s="1">
        <v>4</v>
      </c>
      <c r="B6" s="2" t="s">
        <v>39</v>
      </c>
      <c r="C6" s="1" t="s">
        <v>70</v>
      </c>
      <c r="D6" s="1" t="s">
        <v>41</v>
      </c>
      <c r="E6" s="1" t="s">
        <v>29</v>
      </c>
      <c r="F6" s="1" t="s">
        <v>77</v>
      </c>
      <c r="G6" s="1">
        <v>32</v>
      </c>
      <c r="H6" s="1">
        <f t="shared" si="0"/>
        <v>128</v>
      </c>
    </row>
    <row r="7" spans="1:8">
      <c r="A7" s="1">
        <v>5</v>
      </c>
      <c r="B7" s="2" t="s">
        <v>39</v>
      </c>
      <c r="C7" s="1" t="s">
        <v>69</v>
      </c>
      <c r="D7" s="1" t="s">
        <v>41</v>
      </c>
      <c r="E7" s="1" t="s">
        <v>28</v>
      </c>
      <c r="F7" s="1" t="s">
        <v>77</v>
      </c>
      <c r="G7" s="1">
        <v>32</v>
      </c>
      <c r="H7" s="1">
        <f t="shared" si="0"/>
        <v>160</v>
      </c>
    </row>
    <row r="8" spans="1:8">
      <c r="A8" s="1">
        <v>6</v>
      </c>
      <c r="B8" s="2" t="s">
        <v>39</v>
      </c>
      <c r="C8" s="1" t="s">
        <v>68</v>
      </c>
      <c r="D8" s="1" t="s">
        <v>41</v>
      </c>
      <c r="E8" s="1" t="s">
        <v>27</v>
      </c>
      <c r="F8" s="1" t="s">
        <v>77</v>
      </c>
      <c r="G8" s="1">
        <v>32</v>
      </c>
      <c r="H8" s="1">
        <f t="shared" si="0"/>
        <v>192</v>
      </c>
    </row>
    <row r="9" spans="1:8">
      <c r="A9" s="1">
        <v>7</v>
      </c>
      <c r="B9" s="2" t="s">
        <v>39</v>
      </c>
      <c r="C9" s="1" t="s">
        <v>67</v>
      </c>
      <c r="D9" s="1" t="s">
        <v>41</v>
      </c>
      <c r="E9" s="1" t="s">
        <v>26</v>
      </c>
      <c r="F9" s="1" t="s">
        <v>77</v>
      </c>
      <c r="G9" s="1">
        <v>32</v>
      </c>
      <c r="H9" s="1">
        <f t="shared" si="0"/>
        <v>224</v>
      </c>
    </row>
    <row r="10" spans="1:8">
      <c r="A10" s="1">
        <v>8</v>
      </c>
      <c r="B10" s="2" t="s">
        <v>39</v>
      </c>
      <c r="C10" s="1" t="s">
        <v>66</v>
      </c>
      <c r="D10" s="1" t="s">
        <v>41</v>
      </c>
      <c r="E10" s="1" t="s">
        <v>25</v>
      </c>
      <c r="F10" s="1" t="s">
        <v>77</v>
      </c>
      <c r="G10" s="1">
        <v>32</v>
      </c>
      <c r="H10" s="1">
        <f t="shared" si="0"/>
        <v>256</v>
      </c>
    </row>
    <row r="11" spans="1:8">
      <c r="A11" s="1">
        <v>9</v>
      </c>
      <c r="B11" s="2" t="s">
        <v>39</v>
      </c>
      <c r="C11" s="1" t="s">
        <v>65</v>
      </c>
      <c r="D11" s="1" t="s">
        <v>41</v>
      </c>
      <c r="E11" s="1" t="s">
        <v>24</v>
      </c>
      <c r="F11" s="1" t="s">
        <v>77</v>
      </c>
      <c r="G11" s="1">
        <v>32</v>
      </c>
      <c r="H11" s="1">
        <f t="shared" si="0"/>
        <v>288</v>
      </c>
    </row>
    <row r="12" spans="1:8">
      <c r="A12" s="1">
        <v>10</v>
      </c>
      <c r="B12" s="2" t="s">
        <v>39</v>
      </c>
      <c r="C12" s="1" t="s">
        <v>64</v>
      </c>
      <c r="D12" s="1" t="s">
        <v>41</v>
      </c>
      <c r="E12" s="1" t="s">
        <v>23</v>
      </c>
      <c r="F12" s="1" t="s">
        <v>77</v>
      </c>
      <c r="G12" s="1">
        <v>32</v>
      </c>
      <c r="H12" s="1">
        <f t="shared" si="0"/>
        <v>320</v>
      </c>
    </row>
    <row r="13" spans="1:8">
      <c r="A13" s="1">
        <v>11</v>
      </c>
      <c r="B13" s="2" t="s">
        <v>39</v>
      </c>
      <c r="C13" s="1" t="s">
        <v>63</v>
      </c>
      <c r="D13" s="1" t="s">
        <v>41</v>
      </c>
      <c r="E13" s="1" t="s">
        <v>22</v>
      </c>
      <c r="F13" s="1" t="s">
        <v>77</v>
      </c>
      <c r="G13" s="1">
        <v>32</v>
      </c>
      <c r="H13" s="1">
        <f t="shared" si="0"/>
        <v>352</v>
      </c>
    </row>
    <row r="14" spans="1:8">
      <c r="A14" s="1">
        <v>12</v>
      </c>
      <c r="B14" s="2" t="s">
        <v>39</v>
      </c>
      <c r="C14" s="1" t="s">
        <v>62</v>
      </c>
      <c r="D14" s="1" t="s">
        <v>41</v>
      </c>
      <c r="E14" s="1" t="s">
        <v>21</v>
      </c>
      <c r="F14" s="1" t="s">
        <v>77</v>
      </c>
      <c r="G14" s="1">
        <v>32</v>
      </c>
      <c r="H14" s="1">
        <f t="shared" si="0"/>
        <v>384</v>
      </c>
    </row>
    <row r="15" spans="1:8">
      <c r="A15" s="1">
        <v>13</v>
      </c>
      <c r="B15" s="2" t="s">
        <v>39</v>
      </c>
      <c r="C15" s="1" t="s">
        <v>61</v>
      </c>
      <c r="D15" s="1" t="s">
        <v>41</v>
      </c>
      <c r="E15" s="1" t="s">
        <v>20</v>
      </c>
      <c r="F15" s="1" t="s">
        <v>77</v>
      </c>
      <c r="G15" s="1">
        <v>32</v>
      </c>
      <c r="H15" s="1">
        <f t="shared" si="0"/>
        <v>416</v>
      </c>
    </row>
    <row r="16" spans="1:8">
      <c r="A16" s="1">
        <v>14</v>
      </c>
      <c r="B16" s="2" t="s">
        <v>39</v>
      </c>
      <c r="C16" s="1" t="s">
        <v>60</v>
      </c>
      <c r="D16" s="1" t="s">
        <v>41</v>
      </c>
      <c r="E16" s="1" t="s">
        <v>19</v>
      </c>
      <c r="F16" s="1" t="s">
        <v>77</v>
      </c>
      <c r="G16" s="1">
        <v>32</v>
      </c>
      <c r="H16" s="1">
        <f t="shared" si="0"/>
        <v>448</v>
      </c>
    </row>
    <row r="17" spans="1:8">
      <c r="A17" s="1">
        <v>15</v>
      </c>
      <c r="B17" s="2" t="s">
        <v>39</v>
      </c>
      <c r="C17" s="1" t="s">
        <v>59</v>
      </c>
      <c r="D17" s="1" t="s">
        <v>41</v>
      </c>
      <c r="E17" s="1" t="s">
        <v>18</v>
      </c>
      <c r="F17" s="1" t="s">
        <v>77</v>
      </c>
      <c r="G17" s="1">
        <v>32</v>
      </c>
      <c r="H17" s="1">
        <f t="shared" si="0"/>
        <v>480</v>
      </c>
    </row>
    <row r="18" spans="1:8">
      <c r="A18" s="1">
        <v>16</v>
      </c>
      <c r="B18" s="2" t="s">
        <v>39</v>
      </c>
      <c r="C18" s="1" t="s">
        <v>58</v>
      </c>
      <c r="D18" s="1" t="s">
        <v>41</v>
      </c>
      <c r="E18" s="1" t="s">
        <v>17</v>
      </c>
      <c r="F18" s="1" t="s">
        <v>77</v>
      </c>
      <c r="G18" s="1">
        <v>32</v>
      </c>
      <c r="H18" s="1">
        <f t="shared" si="0"/>
        <v>512</v>
      </c>
    </row>
    <row r="19" spans="1:8">
      <c r="A19" s="1">
        <v>17</v>
      </c>
      <c r="B19" s="2" t="s">
        <v>39</v>
      </c>
      <c r="C19" s="1" t="s">
        <v>57</v>
      </c>
      <c r="D19" s="1" t="s">
        <v>41</v>
      </c>
      <c r="E19" s="1" t="s">
        <v>16</v>
      </c>
      <c r="F19" s="1" t="s">
        <v>77</v>
      </c>
      <c r="G19" s="1">
        <v>32</v>
      </c>
      <c r="H19" s="1">
        <f t="shared" si="0"/>
        <v>544</v>
      </c>
    </row>
    <row r="20" spans="1:8">
      <c r="A20" s="1">
        <v>18</v>
      </c>
      <c r="B20" s="2" t="s">
        <v>39</v>
      </c>
      <c r="C20" s="1" t="s">
        <v>56</v>
      </c>
      <c r="D20" s="1" t="s">
        <v>41</v>
      </c>
      <c r="E20" s="1" t="s">
        <v>15</v>
      </c>
      <c r="F20" s="1" t="s">
        <v>77</v>
      </c>
      <c r="G20" s="1">
        <v>32</v>
      </c>
      <c r="H20" s="1">
        <f t="shared" si="0"/>
        <v>576</v>
      </c>
    </row>
    <row r="21" spans="1:8">
      <c r="A21" s="1">
        <v>19</v>
      </c>
      <c r="B21" s="2" t="s">
        <v>39</v>
      </c>
      <c r="C21" s="1" t="s">
        <v>55</v>
      </c>
      <c r="D21" s="1" t="s">
        <v>41</v>
      </c>
      <c r="E21" s="1" t="s">
        <v>14</v>
      </c>
      <c r="F21" s="1" t="s">
        <v>77</v>
      </c>
      <c r="G21" s="1">
        <v>32</v>
      </c>
      <c r="H21" s="1">
        <f t="shared" si="0"/>
        <v>608</v>
      </c>
    </row>
    <row r="22" spans="1:8">
      <c r="A22" s="1">
        <v>20</v>
      </c>
      <c r="B22" s="2" t="s">
        <v>39</v>
      </c>
      <c r="C22" s="1" t="s">
        <v>54</v>
      </c>
      <c r="D22" s="1" t="s">
        <v>41</v>
      </c>
      <c r="E22" s="1" t="s">
        <v>13</v>
      </c>
      <c r="F22" s="1" t="s">
        <v>77</v>
      </c>
      <c r="G22" s="1">
        <v>32</v>
      </c>
      <c r="H22" s="1">
        <f t="shared" si="0"/>
        <v>640</v>
      </c>
    </row>
    <row r="23" spans="1:8">
      <c r="A23" s="1">
        <v>21</v>
      </c>
      <c r="B23" s="2" t="s">
        <v>39</v>
      </c>
      <c r="C23" s="1" t="s">
        <v>53</v>
      </c>
      <c r="D23" s="1" t="s">
        <v>41</v>
      </c>
      <c r="E23" s="1" t="s">
        <v>12</v>
      </c>
      <c r="F23" s="1" t="s">
        <v>77</v>
      </c>
      <c r="G23" s="1">
        <v>32</v>
      </c>
      <c r="H23" s="1">
        <f t="shared" si="0"/>
        <v>672</v>
      </c>
    </row>
    <row r="24" spans="1:8">
      <c r="A24" s="1">
        <v>22</v>
      </c>
      <c r="B24" s="2" t="s">
        <v>39</v>
      </c>
      <c r="C24" s="1" t="s">
        <v>52</v>
      </c>
      <c r="D24" s="1" t="s">
        <v>41</v>
      </c>
      <c r="E24" s="1" t="s">
        <v>11</v>
      </c>
      <c r="F24" s="1" t="s">
        <v>77</v>
      </c>
      <c r="G24" s="1">
        <v>32</v>
      </c>
      <c r="H24" s="1">
        <f t="shared" si="0"/>
        <v>704</v>
      </c>
    </row>
    <row r="25" spans="1:8">
      <c r="A25" s="1">
        <v>23</v>
      </c>
      <c r="B25" s="2" t="s">
        <v>39</v>
      </c>
      <c r="C25" s="1" t="s">
        <v>51</v>
      </c>
      <c r="D25" s="1" t="s">
        <v>41</v>
      </c>
      <c r="E25" s="1" t="s">
        <v>10</v>
      </c>
      <c r="F25" s="1" t="s">
        <v>77</v>
      </c>
      <c r="G25" s="1">
        <v>32</v>
      </c>
      <c r="H25" s="1">
        <f t="shared" si="0"/>
        <v>736</v>
      </c>
    </row>
    <row r="26" spans="1:8">
      <c r="A26" s="1">
        <v>24</v>
      </c>
      <c r="B26" s="2" t="s">
        <v>39</v>
      </c>
      <c r="C26" s="1" t="s">
        <v>50</v>
      </c>
      <c r="D26" s="1" t="s">
        <v>41</v>
      </c>
      <c r="E26" s="1" t="s">
        <v>9</v>
      </c>
      <c r="F26" s="1" t="s">
        <v>77</v>
      </c>
      <c r="G26" s="1">
        <v>32</v>
      </c>
      <c r="H26" s="1">
        <f t="shared" si="0"/>
        <v>768</v>
      </c>
    </row>
    <row r="27" spans="1:8">
      <c r="A27" s="1">
        <v>25</v>
      </c>
      <c r="B27" s="2" t="s">
        <v>39</v>
      </c>
      <c r="C27" s="1" t="s">
        <v>49</v>
      </c>
      <c r="D27" s="1" t="s">
        <v>41</v>
      </c>
      <c r="E27" s="1" t="s">
        <v>8</v>
      </c>
      <c r="F27" s="1" t="s">
        <v>77</v>
      </c>
      <c r="G27" s="1">
        <v>32</v>
      </c>
      <c r="H27" s="1">
        <f t="shared" si="0"/>
        <v>800</v>
      </c>
    </row>
    <row r="28" spans="1:8">
      <c r="A28" s="1">
        <v>26</v>
      </c>
      <c r="B28" s="2" t="s">
        <v>39</v>
      </c>
      <c r="C28" s="1" t="s">
        <v>48</v>
      </c>
      <c r="D28" s="1" t="s">
        <v>41</v>
      </c>
      <c r="E28" s="1" t="s">
        <v>7</v>
      </c>
      <c r="F28" s="1" t="s">
        <v>77</v>
      </c>
      <c r="G28" s="1">
        <v>32</v>
      </c>
      <c r="H28" s="1">
        <f t="shared" si="0"/>
        <v>832</v>
      </c>
    </row>
    <row r="29" spans="1:8">
      <c r="A29" s="1">
        <v>27</v>
      </c>
      <c r="B29" s="2" t="s">
        <v>39</v>
      </c>
      <c r="C29" s="1" t="s">
        <v>47</v>
      </c>
      <c r="D29" s="1" t="s">
        <v>41</v>
      </c>
      <c r="E29" s="1" t="s">
        <v>6</v>
      </c>
      <c r="F29" s="1" t="s">
        <v>77</v>
      </c>
      <c r="G29" s="1">
        <v>32</v>
      </c>
      <c r="H29" s="1">
        <f t="shared" si="0"/>
        <v>864</v>
      </c>
    </row>
    <row r="30" spans="1:8">
      <c r="A30" s="1">
        <v>28</v>
      </c>
      <c r="B30" s="2" t="s">
        <v>39</v>
      </c>
      <c r="C30" s="1" t="s">
        <v>46</v>
      </c>
      <c r="D30" s="1" t="s">
        <v>41</v>
      </c>
      <c r="E30" s="1" t="s">
        <v>5</v>
      </c>
      <c r="F30" s="1" t="s">
        <v>77</v>
      </c>
      <c r="G30" s="1">
        <v>32</v>
      </c>
      <c r="H30" s="1">
        <f t="shared" si="0"/>
        <v>896</v>
      </c>
    </row>
    <row r="31" spans="1:8">
      <c r="A31" s="1">
        <v>29</v>
      </c>
      <c r="B31" s="2" t="s">
        <v>39</v>
      </c>
      <c r="C31" s="1" t="s">
        <v>45</v>
      </c>
      <c r="D31" s="1" t="s">
        <v>41</v>
      </c>
      <c r="E31" s="1" t="s">
        <v>4</v>
      </c>
      <c r="F31" s="1" t="s">
        <v>77</v>
      </c>
      <c r="G31" s="1">
        <v>32</v>
      </c>
      <c r="H31" s="1">
        <f t="shared" si="0"/>
        <v>928</v>
      </c>
    </row>
    <row r="32" spans="1:8">
      <c r="A32" s="1">
        <v>30</v>
      </c>
      <c r="B32" s="2" t="s">
        <v>39</v>
      </c>
      <c r="C32" s="1" t="s">
        <v>44</v>
      </c>
      <c r="D32" s="1" t="s">
        <v>41</v>
      </c>
      <c r="E32" s="1" t="s">
        <v>3</v>
      </c>
      <c r="F32" s="1" t="s">
        <v>77</v>
      </c>
      <c r="G32" s="1">
        <v>32</v>
      </c>
      <c r="H32" s="1">
        <f t="shared" si="0"/>
        <v>960</v>
      </c>
    </row>
    <row r="33" spans="1:8">
      <c r="A33" s="1">
        <v>31</v>
      </c>
      <c r="B33" s="2" t="s">
        <v>39</v>
      </c>
      <c r="C33" s="1" t="s">
        <v>43</v>
      </c>
      <c r="D33" s="1" t="s">
        <v>41</v>
      </c>
      <c r="E33" s="1" t="s">
        <v>2</v>
      </c>
      <c r="F33" s="1" t="s">
        <v>77</v>
      </c>
      <c r="G33" s="1">
        <v>32</v>
      </c>
      <c r="H33" s="1">
        <f t="shared" si="0"/>
        <v>992</v>
      </c>
    </row>
    <row r="34" spans="1:8">
      <c r="A34" s="1">
        <v>32</v>
      </c>
      <c r="B34" s="2" t="s">
        <v>39</v>
      </c>
      <c r="C34" s="1" t="s">
        <v>42</v>
      </c>
      <c r="D34" s="1" t="s">
        <v>41</v>
      </c>
      <c r="E34" s="1" t="s">
        <v>1</v>
      </c>
      <c r="F34" s="1" t="s">
        <v>77</v>
      </c>
      <c r="G34" s="1">
        <v>32</v>
      </c>
      <c r="H34" s="1">
        <f t="shared" si="0"/>
        <v>1024</v>
      </c>
    </row>
    <row r="35" spans="1:8">
      <c r="A35" s="1">
        <v>33</v>
      </c>
      <c r="B35" s="2" t="s">
        <v>39</v>
      </c>
      <c r="C35" s="1" t="s">
        <v>76</v>
      </c>
      <c r="D35" s="1" t="s">
        <v>41</v>
      </c>
      <c r="E35" s="1" t="s">
        <v>0</v>
      </c>
      <c r="F35" s="1" t="s">
        <v>77</v>
      </c>
      <c r="G35" s="1">
        <v>22</v>
      </c>
      <c r="H35" s="1">
        <f t="shared" si="0"/>
        <v>1046</v>
      </c>
    </row>
    <row r="36" spans="1:8">
      <c r="A36" s="10" t="s">
        <v>78</v>
      </c>
      <c r="B36" s="11"/>
      <c r="C36" s="11"/>
      <c r="D36" s="11"/>
      <c r="E36" s="11"/>
      <c r="F36" s="12"/>
      <c r="G36" s="13">
        <f>150*H35</f>
        <v>156900</v>
      </c>
      <c r="H36" s="14"/>
    </row>
  </sheetData>
  <sortState ref="C3:H35">
    <sortCondition ref="E3:E35"/>
  </sortState>
  <mergeCells count="3">
    <mergeCell ref="A1:H1"/>
    <mergeCell ref="A36:F36"/>
    <mergeCell ref="G36:H36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PMS</dc:creator>
  <cp:lastModifiedBy>PMS</cp:lastModifiedBy>
  <dcterms:created xsi:type="dcterms:W3CDTF">2025-11-03T03:55:11Z</dcterms:created>
  <dcterms:modified xsi:type="dcterms:W3CDTF">2025-11-12T12:02:43Z</dcterms:modified>
</cp:coreProperties>
</file>