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4" i="1"/>
  <c r="J14"/>
  <c r="I6"/>
  <c r="I7"/>
  <c r="L7" s="1"/>
  <c r="I8"/>
  <c r="I9"/>
  <c r="I10"/>
  <c r="I11"/>
  <c r="L11" s="1"/>
  <c r="I12"/>
  <c r="I13"/>
  <c r="I5"/>
  <c r="L13"/>
  <c r="L6"/>
  <c r="L8"/>
  <c r="L9"/>
  <c r="L10"/>
  <c r="L12"/>
  <c r="I14" l="1"/>
  <c r="L5"/>
  <c r="L14" s="1"/>
</calcChain>
</file>

<file path=xl/sharedStrings.xml><?xml version="1.0" encoding="utf-8"?>
<sst xmlns="http://schemas.openxmlformats.org/spreadsheetml/2006/main" count="59" uniqueCount="21">
  <si>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</si>
  <si>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</si>
  <si>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</si>
  <si>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</si>
  <si>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</si>
  <si>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</si>
  <si>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</si>
  <si>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</si>
  <si>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</si>
  <si>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</si>
  <si>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BATA</t>
  </si>
  <si>
    <t>NET AMOUNT</t>
  </si>
  <si>
    <t>14/11/25</t>
  </si>
  <si>
    <t>ARUL</t>
  </si>
  <si>
    <t>NAGERCOIL</t>
  </si>
  <si>
    <t>TN74BC3735</t>
  </si>
  <si>
    <t>WET MIX</t>
  </si>
  <si>
    <t>TN74BE3132</t>
  </si>
  <si>
    <t>TOTAL</t>
  </si>
  <si>
    <t>15/11/25</t>
  </si>
  <si>
    <t>9/11/25 to 15/11/25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</si>
</sst>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14"/>
  <sheetViews>
    <sheetView tabSelected="1" workbookViewId="0">
      <selection activeCell="E18" sqref="E18"/>
    </sheetView>
  </sheetViews>
  <sheetFormatPr defaultRowHeight="15"/>
  <cols>
    <col min="2" max="2" width="8.7109375" bestFit="1" customWidth="1"/>
    <col min="3" max="3" width="16" customWidth="1"/>
    <col min="4" max="4" width="12.28515625" customWidth="1"/>
    <col min="5" max="5" width="11.5703125" bestFit="1" customWidth="1"/>
    <col min="6" max="6" width="10.42578125" customWidth="1"/>
  </cols>
  <sheetData>
    <row r="2" spans="1:12">
      <c r="E2" t="s">
        <v>20</v>
      </c>
    </row>
    <row r="4" spans="1:12" ht="30">
      <c r="A4" s="1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</row>
    <row r="5" spans="1:12" ht="18.75" customHeight="1">
      <c r="A5" s="5">
        <v>1</v>
      </c>
      <c r="B5" s="6" t="s">
        <v>12</v>
      </c>
      <c r="C5" s="5" t="s">
        <v>13</v>
      </c>
      <c r="D5" s="5" t="s">
        <v>14</v>
      </c>
      <c r="E5" s="7" t="s">
        <v>15</v>
      </c>
      <c r="F5" s="7" t="s">
        <v>16</v>
      </c>
      <c r="G5" s="5">
        <v>9.1199999999999992</v>
      </c>
      <c r="H5" s="5">
        <v>1050</v>
      </c>
      <c r="I5" s="5">
        <f>ROUND(G5*H5,-1)</f>
        <v>9580</v>
      </c>
      <c r="J5" s="5">
        <v>500</v>
      </c>
      <c r="K5" s="5">
        <v>0</v>
      </c>
      <c r="L5" s="5">
        <f>ROUND(I5+J5-K5,-1)</f>
        <v>10080</v>
      </c>
    </row>
    <row r="6" spans="1:12" ht="18.75" customHeight="1">
      <c r="A6" s="5">
        <v>2</v>
      </c>
      <c r="B6" s="6" t="s">
        <v>12</v>
      </c>
      <c r="C6" s="5" t="s">
        <v>13</v>
      </c>
      <c r="D6" s="5" t="s">
        <v>14</v>
      </c>
      <c r="E6" s="5" t="s">
        <v>17</v>
      </c>
      <c r="F6" s="7" t="s">
        <v>16</v>
      </c>
      <c r="G6" s="5">
        <v>9.16</v>
      </c>
      <c r="H6" s="5">
        <v>1050</v>
      </c>
      <c r="I6" s="5">
        <f t="shared" ref="I6:I13" si="0">ROUND(G6*H6,-1)</f>
        <v>9620</v>
      </c>
      <c r="J6" s="5">
        <v>500</v>
      </c>
      <c r="K6" s="5">
        <v>0</v>
      </c>
      <c r="L6" s="5">
        <f t="shared" ref="L6:L13" si="1">ROUND(I6+J6-K6,-1)</f>
        <v>10120</v>
      </c>
    </row>
    <row r="7" spans="1:12" ht="18.75" customHeight="1">
      <c r="A7" s="1">
        <v>3</v>
      </c>
      <c r="B7" s="2" t="s">
        <v>12</v>
      </c>
      <c r="C7" s="1" t="s">
        <v>13</v>
      </c>
      <c r="D7" s="1" t="s">
        <v>14</v>
      </c>
      <c r="E7" s="3" t="s">
        <v>15</v>
      </c>
      <c r="F7" s="3" t="s">
        <v>16</v>
      </c>
      <c r="G7" s="4">
        <v>9.39</v>
      </c>
      <c r="H7" s="1">
        <v>1050</v>
      </c>
      <c r="I7" s="5">
        <f t="shared" si="0"/>
        <v>9860</v>
      </c>
      <c r="J7" s="4">
        <v>0</v>
      </c>
      <c r="K7" s="1">
        <v>0</v>
      </c>
      <c r="L7" s="5">
        <f t="shared" si="1"/>
        <v>9860</v>
      </c>
    </row>
    <row r="8" spans="1:12" ht="18.75" customHeight="1">
      <c r="A8" s="1">
        <v>4</v>
      </c>
      <c r="B8" s="2" t="s">
        <v>12</v>
      </c>
      <c r="C8" s="1" t="s">
        <v>13</v>
      </c>
      <c r="D8" s="1" t="s">
        <v>14</v>
      </c>
      <c r="E8" s="1" t="s">
        <v>17</v>
      </c>
      <c r="F8" s="3" t="s">
        <v>16</v>
      </c>
      <c r="G8" s="4">
        <v>9.0500000000000007</v>
      </c>
      <c r="H8" s="1">
        <v>1050</v>
      </c>
      <c r="I8" s="5">
        <f t="shared" si="0"/>
        <v>9500</v>
      </c>
      <c r="J8" s="4">
        <v>0</v>
      </c>
      <c r="K8" s="1">
        <v>0</v>
      </c>
      <c r="L8" s="5">
        <f t="shared" si="1"/>
        <v>9500</v>
      </c>
    </row>
    <row r="9" spans="1:12" ht="18.75" customHeight="1">
      <c r="A9" s="1">
        <v>5</v>
      </c>
      <c r="B9" s="2" t="s">
        <v>12</v>
      </c>
      <c r="C9" s="1" t="s">
        <v>13</v>
      </c>
      <c r="D9" s="1" t="s">
        <v>14</v>
      </c>
      <c r="E9" s="3" t="s">
        <v>15</v>
      </c>
      <c r="F9" s="3" t="s">
        <v>16</v>
      </c>
      <c r="G9" s="4">
        <v>9.41</v>
      </c>
      <c r="H9" s="1">
        <v>1050</v>
      </c>
      <c r="I9" s="5">
        <f t="shared" si="0"/>
        <v>9880</v>
      </c>
      <c r="J9" s="4">
        <v>0</v>
      </c>
      <c r="K9" s="1">
        <v>0</v>
      </c>
      <c r="L9" s="5">
        <f t="shared" si="1"/>
        <v>9880</v>
      </c>
    </row>
    <row r="10" spans="1:12" ht="18.75" customHeight="1">
      <c r="A10" s="1">
        <v>6</v>
      </c>
      <c r="B10" s="2" t="s">
        <v>12</v>
      </c>
      <c r="C10" s="1" t="s">
        <v>13</v>
      </c>
      <c r="D10" s="1" t="s">
        <v>14</v>
      </c>
      <c r="E10" s="1" t="s">
        <v>17</v>
      </c>
      <c r="F10" s="3" t="s">
        <v>16</v>
      </c>
      <c r="G10" s="4">
        <v>9.36</v>
      </c>
      <c r="H10" s="1">
        <v>1050</v>
      </c>
      <c r="I10" s="5">
        <f t="shared" si="0"/>
        <v>9830</v>
      </c>
      <c r="J10" s="4">
        <v>0</v>
      </c>
      <c r="K10" s="1">
        <v>0</v>
      </c>
      <c r="L10" s="5">
        <f t="shared" si="1"/>
        <v>9830</v>
      </c>
    </row>
    <row r="11" spans="1:12" ht="18.75" customHeight="1">
      <c r="A11" s="1">
        <v>7</v>
      </c>
      <c r="B11" s="2" t="s">
        <v>19</v>
      </c>
      <c r="C11" s="1" t="s">
        <v>13</v>
      </c>
      <c r="D11" s="1" t="s">
        <v>14</v>
      </c>
      <c r="E11" s="1" t="s">
        <v>17</v>
      </c>
      <c r="F11" s="3" t="s">
        <v>16</v>
      </c>
      <c r="G11" s="4">
        <v>9.08</v>
      </c>
      <c r="H11" s="1">
        <v>1050</v>
      </c>
      <c r="I11" s="5">
        <f t="shared" si="0"/>
        <v>9530</v>
      </c>
      <c r="J11" s="4">
        <v>500</v>
      </c>
      <c r="K11" s="1">
        <v>0</v>
      </c>
      <c r="L11" s="5">
        <f t="shared" si="1"/>
        <v>10030</v>
      </c>
    </row>
    <row r="12" spans="1:12" ht="18.75" customHeight="1">
      <c r="A12" s="1">
        <v>8</v>
      </c>
      <c r="B12" s="2" t="s">
        <v>19</v>
      </c>
      <c r="C12" s="1" t="s">
        <v>13</v>
      </c>
      <c r="D12" s="1" t="s">
        <v>14</v>
      </c>
      <c r="E12" s="3" t="s">
        <v>15</v>
      </c>
      <c r="F12" s="3" t="s">
        <v>16</v>
      </c>
      <c r="G12" s="4">
        <v>9.41</v>
      </c>
      <c r="H12" s="1">
        <v>1050</v>
      </c>
      <c r="I12" s="5">
        <f t="shared" si="0"/>
        <v>9880</v>
      </c>
      <c r="J12" s="4">
        <v>500</v>
      </c>
      <c r="K12" s="1">
        <v>0</v>
      </c>
      <c r="L12" s="5">
        <f t="shared" si="1"/>
        <v>10380</v>
      </c>
    </row>
    <row r="13" spans="1:12" ht="18.75" customHeight="1">
      <c r="A13" s="1">
        <v>9</v>
      </c>
      <c r="B13" s="2" t="s">
        <v>19</v>
      </c>
      <c r="C13" s="1" t="s">
        <v>13</v>
      </c>
      <c r="D13" s="1" t="s">
        <v>14</v>
      </c>
      <c r="E13" s="1" t="s">
        <v>17</v>
      </c>
      <c r="F13" s="3" t="s">
        <v>16</v>
      </c>
      <c r="G13" s="1">
        <v>9.3699999999999992</v>
      </c>
      <c r="H13" s="1">
        <v>1050</v>
      </c>
      <c r="I13" s="5">
        <f t="shared" si="0"/>
        <v>9840</v>
      </c>
      <c r="J13" s="1">
        <v>0</v>
      </c>
      <c r="K13" s="1">
        <v>0</v>
      </c>
      <c r="L13" s="5">
        <f t="shared" si="1"/>
        <v>9840</v>
      </c>
    </row>
    <row r="14" spans="1:12">
      <c r="A14" s="8" t="s">
        <v>18</v>
      </c>
      <c r="B14" s="9"/>
      <c r="C14" s="9"/>
      <c r="D14" s="9"/>
      <c r="E14" s="9"/>
      <c r="F14" s="10"/>
      <c r="G14" s="5">
        <f>SUM(G5:G13)</f>
        <v>83.35</v>
      </c>
      <c r="H14" s="5"/>
      <c r="I14" s="5">
        <f>SUM(I5:I13)</f>
        <v>87520</v>
      </c>
      <c r="J14" s="5">
        <f>SUM(J5:J13)</f>
        <v>2000</v>
      </c>
      <c r="K14" s="5"/>
      <c r="L14" s="1">
        <f>SUM(L5:L13)</f>
        <v>89520</v>
      </c>
    </row>
  </sheetData>
  <mergeCells count="1">
    <mergeCell ref="A14:F14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2025-11-15T10:37:18Z</cp:lastPrinted>
  <dcterms:created xsi:type="dcterms:W3CDTF">2025-11-14T01:52:29Z</dcterms:created>
  <dcterms:modified xsi:type="dcterms:W3CDTF">2025-11-17T05:20:57Z</dcterms:modified>
</cp:coreProperties>
</file>