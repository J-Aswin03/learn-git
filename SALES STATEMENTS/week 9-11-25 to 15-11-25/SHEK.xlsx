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645" windowWidth="147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10" i="1"/>
  <c r="J10"/>
  <c r="I10"/>
  <c r="G10"/>
  <c r="I8"/>
  <c r="K8" s="1"/>
  <c r="I9"/>
  <c r="K9" s="1"/>
  <c r="K7"/>
  <c r="I7"/>
  <c r="I6"/>
  <c r="K6" s="1"/>
  <c r="K5"/>
  <c r="I5"/>
</calcChain>
</file>

<file path=xl/sharedStrings.xml><?xml version="1.0" encoding="utf-8"?>
<sst xmlns="http://schemas.openxmlformats.org/spreadsheetml/2006/main" count="33" uniqueCount="21">
  <si>
    <t>SHEK</t>
  </si>
  <si>
    <t>THADIKARAKONAM</t>
  </si>
  <si>
    <t>TN74AF7096</t>
  </si>
  <si>
    <t>ROUGH STONE</t>
  </si>
  <si>
    <t>TN74AF7097</t>
  </si>
  <si>
    <t>TN75AK2350</t>
  </si>
  <si>
    <t>TOTAL</t>
  </si>
  <si>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</si>
  <si>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</si>
  <si>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</si>
  <si>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</si>
  <si>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</si>
  <si>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</si>
  <si>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</si>
  <si>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</si>
  <si>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</si>
  <si>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</si>
  <si>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</si>
  <si>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TN65Y3718</t>
  </si>
  <si>
    <t>THITTUVILAI</t>
  </si>
  <si>
    <t>9/11/25 TO 15/11/25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</si>
</sst>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K14"/>
  <sheetViews>
    <sheetView tabSelected="1" workbookViewId="0">
      <selection activeCell="L13" sqref="L13"/>
    </sheetView>
  </sheetViews>
  <sheetFormatPr defaultRowHeight="15"/>
  <cols>
    <col min="2" max="2" width="10.7109375" bestFit="1" customWidth="1"/>
    <col min="4" max="4" width="18.5703125" bestFit="1" customWidth="1"/>
    <col min="5" max="5" width="12" bestFit="1" customWidth="1"/>
    <col min="6" max="6" width="13.85546875" bestFit="1" customWidth="1"/>
  </cols>
  <sheetData>
    <row r="2" spans="1:11">
      <c r="E2" t="s">
        <v>20</v>
      </c>
    </row>
    <row r="4" spans="1:11" ht="30">
      <c r="A4" s="2" t="s">
        <v>7</v>
      </c>
      <c r="B4" s="2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</row>
    <row r="5" spans="1:11" ht="22.5" customHeight="1">
      <c r="A5" s="4">
        <v>1</v>
      </c>
      <c r="B5" s="9">
        <v>45941</v>
      </c>
      <c r="C5" s="4" t="s">
        <v>0</v>
      </c>
      <c r="D5" s="4" t="s">
        <v>1</v>
      </c>
      <c r="E5" s="1" t="s">
        <v>2</v>
      </c>
      <c r="F5" s="1" t="s">
        <v>3</v>
      </c>
      <c r="G5" s="4">
        <v>5.81</v>
      </c>
      <c r="H5" s="4">
        <v>1000</v>
      </c>
      <c r="I5" s="4">
        <f>G5*H5</f>
        <v>5810</v>
      </c>
      <c r="J5" s="4">
        <v>600</v>
      </c>
      <c r="K5" s="4">
        <f>ROUND(I5+J5,-1)</f>
        <v>6410</v>
      </c>
    </row>
    <row r="6" spans="1:11" ht="17.25" customHeight="1">
      <c r="A6" s="4">
        <v>2</v>
      </c>
      <c r="B6" s="9">
        <v>45941</v>
      </c>
      <c r="C6" s="4" t="s">
        <v>0</v>
      </c>
      <c r="D6" s="4" t="s">
        <v>1</v>
      </c>
      <c r="E6" s="1" t="s">
        <v>4</v>
      </c>
      <c r="F6" s="1" t="s">
        <v>3</v>
      </c>
      <c r="G6" s="4">
        <v>5.5</v>
      </c>
      <c r="H6" s="4">
        <v>1000</v>
      </c>
      <c r="I6" s="4">
        <f>G6*H6</f>
        <v>5500</v>
      </c>
      <c r="J6" s="4">
        <v>0</v>
      </c>
      <c r="K6" s="4">
        <f>ROUND(I6+J6,-1)</f>
        <v>5500</v>
      </c>
    </row>
    <row r="7" spans="1:11" ht="17.25" customHeight="1">
      <c r="A7" s="4">
        <v>3</v>
      </c>
      <c r="B7" s="9">
        <v>45941</v>
      </c>
      <c r="C7" s="4" t="s">
        <v>0</v>
      </c>
      <c r="D7" s="4" t="s">
        <v>1</v>
      </c>
      <c r="E7" s="1" t="s">
        <v>5</v>
      </c>
      <c r="F7" s="1" t="s">
        <v>3</v>
      </c>
      <c r="G7" s="4">
        <v>6.16</v>
      </c>
      <c r="H7" s="4">
        <v>1000</v>
      </c>
      <c r="I7" s="4">
        <f>G7*H7</f>
        <v>6160</v>
      </c>
      <c r="J7" s="4">
        <v>600</v>
      </c>
      <c r="K7" s="4">
        <f>ROUND(I7+J7,-1)</f>
        <v>6760</v>
      </c>
    </row>
    <row r="8" spans="1:11" ht="17.25" customHeight="1">
      <c r="A8" s="4">
        <v>4</v>
      </c>
      <c r="B8" s="9">
        <v>45972</v>
      </c>
      <c r="C8" s="10" t="s">
        <v>0</v>
      </c>
      <c r="D8" s="10" t="s">
        <v>19</v>
      </c>
      <c r="E8" s="3" t="s">
        <v>18</v>
      </c>
      <c r="F8" s="3" t="s">
        <v>3</v>
      </c>
      <c r="G8" s="4">
        <v>4.28</v>
      </c>
      <c r="H8" s="4">
        <v>1000</v>
      </c>
      <c r="I8" s="4">
        <f>G8*H8</f>
        <v>4280</v>
      </c>
      <c r="J8" s="4">
        <v>0</v>
      </c>
      <c r="K8" s="4">
        <f>I8+J8</f>
        <v>4280</v>
      </c>
    </row>
    <row r="9" spans="1:11" ht="17.25" customHeight="1">
      <c r="A9" s="4">
        <v>5</v>
      </c>
      <c r="B9" s="9">
        <v>45972</v>
      </c>
      <c r="C9" s="10" t="s">
        <v>0</v>
      </c>
      <c r="D9" s="10" t="s">
        <v>19</v>
      </c>
      <c r="E9" s="3" t="s">
        <v>18</v>
      </c>
      <c r="F9" s="3" t="s">
        <v>3</v>
      </c>
      <c r="G9" s="4">
        <v>4.3899999999999997</v>
      </c>
      <c r="H9" s="4">
        <v>1000</v>
      </c>
      <c r="I9" s="4">
        <f>G9*H9</f>
        <v>4390</v>
      </c>
      <c r="J9" s="4">
        <v>0</v>
      </c>
      <c r="K9" s="4">
        <f>I9+J9</f>
        <v>4390</v>
      </c>
    </row>
    <row r="10" spans="1:11" ht="17.25" customHeight="1">
      <c r="A10" s="5" t="s">
        <v>6</v>
      </c>
      <c r="B10" s="6"/>
      <c r="C10" s="6"/>
      <c r="D10" s="6"/>
      <c r="E10" s="6"/>
      <c r="F10" s="7"/>
      <c r="G10" s="8">
        <f>SUM(G5:G9)</f>
        <v>26.14</v>
      </c>
      <c r="H10" s="8"/>
      <c r="I10" s="8">
        <f>SUM(I5:I9)</f>
        <v>26140</v>
      </c>
      <c r="J10" s="8">
        <f>SUM(J5:J9)</f>
        <v>1200</v>
      </c>
      <c r="K10" s="1">
        <f>SUM(K5:K9)</f>
        <v>27340</v>
      </c>
    </row>
    <row r="11" spans="1:11" ht="17.25" customHeight="1"/>
    <row r="12" spans="1:11" ht="17.25" customHeight="1"/>
    <row r="13" spans="1:11" ht="17.25" customHeight="1"/>
    <row r="14" spans="1:11" ht="18" customHeight="1"/>
  </sheetData>
  <mergeCells count="1">
    <mergeCell ref="A10:F10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2025-11-15T03:02:24Z</cp:lastPrinted>
  <dcterms:created xsi:type="dcterms:W3CDTF">2025-11-12T04:20:36Z</dcterms:created>
  <dcterms:modified xsi:type="dcterms:W3CDTF">2025-11-15T03:18:58Z</dcterms:modified>
</cp:coreProperties>
</file>