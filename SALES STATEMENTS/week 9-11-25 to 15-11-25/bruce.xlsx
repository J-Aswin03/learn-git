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320" yWindow="1500" windowWidth="14055" windowHeight="65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10" i="1"/>
  <c r="G11" s="1"/>
  <c r="I8"/>
  <c r="G8"/>
  <c r="K8"/>
  <c r="K7"/>
  <c r="I7"/>
  <c r="I6"/>
  <c r="K6" s="1"/>
  <c r="K5"/>
  <c r="I5"/>
</calcChain>
</file>

<file path=xl/sharedStrings.xml><?xml version="1.0" encoding="utf-8"?>
<sst xmlns="http://schemas.openxmlformats.org/spreadsheetml/2006/main" count="27" uniqueCount="18">
  <si>
    <t>BRUCE</t>
  </si>
  <si>
    <t>CULACHEL</t>
  </si>
  <si>
    <t>TN74Q7473</t>
  </si>
  <si>
    <t>6MM</t>
  </si>
  <si>
    <t>sno</t>
  </si>
  <si>
    <t>DATE</t>
  </si>
  <si>
    <t>CUSTOMER NAME</t>
  </si>
  <si>
    <t>PLACE</t>
  </si>
  <si>
    <t>VEHICLE NO</t>
  </si>
  <si>
    <t>MATERIAL</t>
  </si>
  <si>
    <t>QTY</t>
  </si>
  <si>
    <t>RATE</t>
  </si>
  <si>
    <t>AMOUNT</t>
  </si>
  <si>
    <t>PASS</t>
  </si>
  <si>
    <t>NET AMOUNT</t>
  </si>
  <si>
    <t>TOTAL</t>
  </si>
  <si>
    <t>9/11/25 TO 15/11/25</t>
  </si>
  <si>
    <t>DISCOUNT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</si>
</sst>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/>
    <xf numFmtId="0" fontId="1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K11"/>
  <sheetViews>
    <sheetView tabSelected="1" workbookViewId="0">
      <selection activeCell="E21" sqref="E21"/>
    </sheetView>
  </sheetViews>
  <sheetFormatPr defaultRowHeight="15"/>
  <cols>
    <col min="1" max="1" width="4.140625" bestFit="1" customWidth="1"/>
    <col min="2" max="2" width="11.28515625" customWidth="1"/>
    <col min="3" max="3" width="16.7109375" bestFit="1" customWidth="1"/>
    <col min="4" max="4" width="9.85546875" bestFit="1" customWidth="1"/>
    <col min="5" max="5" width="11.85546875" customWidth="1"/>
    <col min="6" max="6" width="10" bestFit="1" customWidth="1"/>
    <col min="7" max="8" width="8.28515625" customWidth="1"/>
    <col min="11" max="11" width="13.140625" bestFit="1" customWidth="1"/>
  </cols>
  <sheetData>
    <row r="2" spans="1:11">
      <c r="E2" t="s">
        <v>16</v>
      </c>
    </row>
    <row r="4" spans="1:11" ht="21" customHeight="1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</row>
    <row r="5" spans="1:11">
      <c r="A5" s="1">
        <v>1</v>
      </c>
      <c r="B5" s="2">
        <v>45972</v>
      </c>
      <c r="C5" s="1" t="s">
        <v>0</v>
      </c>
      <c r="D5" s="1" t="s">
        <v>1</v>
      </c>
      <c r="E5" s="1" t="s">
        <v>2</v>
      </c>
      <c r="F5" s="1" t="s">
        <v>3</v>
      </c>
      <c r="G5" s="1">
        <v>5.29</v>
      </c>
      <c r="H5" s="1">
        <v>1000</v>
      </c>
      <c r="I5" s="1">
        <f>G5*H5</f>
        <v>5290</v>
      </c>
      <c r="J5" s="1">
        <v>500</v>
      </c>
      <c r="K5" s="1">
        <f>I5+J5</f>
        <v>5790</v>
      </c>
    </row>
    <row r="6" spans="1:11">
      <c r="A6" s="1">
        <v>2</v>
      </c>
      <c r="B6" s="2">
        <v>45972</v>
      </c>
      <c r="C6" s="1" t="s">
        <v>0</v>
      </c>
      <c r="D6" s="1" t="s">
        <v>1</v>
      </c>
      <c r="E6" s="1" t="s">
        <v>2</v>
      </c>
      <c r="F6" s="1" t="s">
        <v>3</v>
      </c>
      <c r="G6" s="1">
        <v>5.66</v>
      </c>
      <c r="H6" s="1">
        <v>1000</v>
      </c>
      <c r="I6" s="1">
        <f>G6*H6</f>
        <v>5660</v>
      </c>
      <c r="J6" s="1">
        <v>0</v>
      </c>
      <c r="K6" s="1">
        <f>I6+J6</f>
        <v>5660</v>
      </c>
    </row>
    <row r="7" spans="1:11">
      <c r="A7" s="1">
        <v>3</v>
      </c>
      <c r="B7" s="2">
        <v>45972</v>
      </c>
      <c r="C7" s="1" t="s">
        <v>0</v>
      </c>
      <c r="D7" s="1" t="s">
        <v>1</v>
      </c>
      <c r="E7" s="1" t="s">
        <v>2</v>
      </c>
      <c r="F7" s="1" t="s">
        <v>3</v>
      </c>
      <c r="G7" s="1">
        <v>5.83</v>
      </c>
      <c r="H7" s="1">
        <v>1000</v>
      </c>
      <c r="I7" s="1">
        <f>G7*H7</f>
        <v>5830</v>
      </c>
      <c r="J7" s="1">
        <v>0</v>
      </c>
      <c r="K7" s="1">
        <f>I7+J7</f>
        <v>5830</v>
      </c>
    </row>
    <row r="8" spans="1:11">
      <c r="A8" s="5" t="s">
        <v>15</v>
      </c>
      <c r="B8" s="6"/>
      <c r="C8" s="6"/>
      <c r="D8" s="6"/>
      <c r="E8" s="6"/>
      <c r="F8" s="7"/>
      <c r="G8" s="3">
        <f>SUM(G5:G7)</f>
        <v>16.78</v>
      </c>
      <c r="H8" s="3"/>
      <c r="I8" s="3">
        <f>SUM(I5:I7)</f>
        <v>16780</v>
      </c>
      <c r="J8" s="3"/>
      <c r="K8" s="1">
        <f>SUM(K5:K7)</f>
        <v>17280</v>
      </c>
    </row>
    <row r="10" spans="1:11">
      <c r="F10" t="s">
        <v>15</v>
      </c>
      <c r="G10">
        <f>ROUND(G8*750+J5,-1)</f>
        <v>13090</v>
      </c>
    </row>
    <row r="11" spans="1:11">
      <c r="F11" t="s">
        <v>17</v>
      </c>
      <c r="G11">
        <f>K8-G10</f>
        <v>4190</v>
      </c>
    </row>
  </sheetData>
  <mergeCells count="1">
    <mergeCell ref="A8:F8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2025-11-15T04:31:09Z</cp:lastPrinted>
  <dcterms:created xsi:type="dcterms:W3CDTF">2025-11-12T04:40:50Z</dcterms:created>
  <dcterms:modified xsi:type="dcterms:W3CDTF">2025-11-19T10:00:44Z</dcterms:modified>
</cp:coreProperties>
</file>