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2" i="1"/>
  <c r="K12"/>
  <c r="J12"/>
  <c r="I12"/>
  <c r="I3"/>
  <c r="I4"/>
  <c r="L4" s="1"/>
  <c r="I5"/>
  <c r="I6"/>
  <c r="I7"/>
  <c r="I9"/>
  <c r="I10"/>
  <c r="I11"/>
  <c r="I8"/>
  <c r="G12"/>
  <c r="L11"/>
  <c r="L3"/>
  <c r="L5"/>
  <c r="L6"/>
  <c r="L7"/>
  <c r="L8"/>
  <c r="L9"/>
  <c r="L10"/>
</calcChain>
</file>

<file path=xl/sharedStrings.xml><?xml version="1.0" encoding="utf-8"?>
<sst xmlns="http://schemas.openxmlformats.org/spreadsheetml/2006/main" count="52" uniqueCount="30">
  <si>
    <t>CASH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</si>
  <si>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</si>
  <si>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</si>
  <si>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</si>
  <si>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</si>
  <si>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</si>
  <si>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</si>
  <si>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</si>
  <si>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</si>
  <si>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</si>
  <si>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</si>
  <si>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</si>
  <si>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GANESH</t>
  </si>
  <si>
    <t>SEETHAPAL</t>
  </si>
  <si>
    <t>TN32CS3690</t>
  </si>
  <si>
    <t>ROUGH STONE</t>
  </si>
  <si>
    <t>SMD</t>
  </si>
  <si>
    <t>KAMARAJ NAGAR</t>
  </si>
  <si>
    <t>TN74P6459</t>
  </si>
  <si>
    <t>BATA</t>
  </si>
  <si>
    <t>RAMESH</t>
  </si>
  <si>
    <t>POOTHAPANDI</t>
  </si>
  <si>
    <t>TN75AU7530</t>
  </si>
  <si>
    <t>WASTE</t>
  </si>
  <si>
    <t>13/11/25</t>
  </si>
  <si>
    <t>TN74AW9868</t>
  </si>
  <si>
    <t>6MM</t>
  </si>
  <si>
    <t>PAUL</t>
  </si>
  <si>
    <t>TN74BH0625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</si>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</sst>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 wrapText="1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4" xfId="0" applyFill="1" applyBorder="1" applyAlignment="1">
      <alignment horizontal="left"/>
    </xf>
    <xf numFmtId="14" fontId="0" fillId="0" borderId="4" xfId="0" applyNumberFormat="1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selection activeCell="D18" sqref="D18"/>
    </sheetView>
  </sheetViews>
  <sheetFormatPr defaultRowHeight="15"/>
  <cols>
    <col min="2" max="2" width="10.7109375" bestFit="1" customWidth="1"/>
    <col min="3" max="3" width="14.7109375" customWidth="1"/>
    <col min="4" max="4" width="16.5703125" bestFit="1" customWidth="1"/>
    <col min="5" max="5" width="11.5703125" bestFit="1" customWidth="1"/>
    <col min="6" max="6" width="13.7109375" customWidth="1"/>
    <col min="11" max="11" width="11" customWidth="1"/>
  </cols>
  <sheetData>
    <row r="1" spans="1:1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30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19</v>
      </c>
      <c r="L2" s="2" t="s">
        <v>11</v>
      </c>
    </row>
    <row r="3" spans="1:12" ht="15.75" customHeight="1">
      <c r="A3" s="1">
        <v>1</v>
      </c>
      <c r="B3" s="5">
        <v>45941</v>
      </c>
      <c r="C3" s="6" t="s">
        <v>12</v>
      </c>
      <c r="D3" s="6" t="s">
        <v>13</v>
      </c>
      <c r="E3" s="6" t="s">
        <v>14</v>
      </c>
      <c r="F3" s="7" t="s">
        <v>15</v>
      </c>
      <c r="G3" s="3">
        <v>5.8</v>
      </c>
      <c r="H3" s="3">
        <v>1000</v>
      </c>
      <c r="I3" s="3">
        <f t="shared" ref="I3:I7" si="0">ROUND(G3*H3,-1)</f>
        <v>5800</v>
      </c>
      <c r="J3" s="3">
        <v>600</v>
      </c>
      <c r="K3" s="3">
        <v>0</v>
      </c>
      <c r="L3" s="3">
        <f t="shared" ref="L3:L9" si="1">I3+J3-K3</f>
        <v>6400</v>
      </c>
    </row>
    <row r="4" spans="1:12" ht="15.75" customHeight="1">
      <c r="A4" s="1">
        <v>2</v>
      </c>
      <c r="B4" s="5">
        <v>45941</v>
      </c>
      <c r="C4" s="6" t="s">
        <v>16</v>
      </c>
      <c r="D4" s="6" t="s">
        <v>17</v>
      </c>
      <c r="E4" s="6" t="s">
        <v>18</v>
      </c>
      <c r="F4" s="7" t="s">
        <v>15</v>
      </c>
      <c r="G4" s="3">
        <v>4.05</v>
      </c>
      <c r="H4" s="3">
        <v>1000</v>
      </c>
      <c r="I4" s="3">
        <f t="shared" si="0"/>
        <v>4050</v>
      </c>
      <c r="J4" s="3">
        <v>400</v>
      </c>
      <c r="K4" s="3">
        <v>0</v>
      </c>
      <c r="L4" s="3">
        <f t="shared" si="1"/>
        <v>4450</v>
      </c>
    </row>
    <row r="5" spans="1:12" ht="15.75" customHeight="1">
      <c r="A5" s="1">
        <v>3</v>
      </c>
      <c r="B5" s="5">
        <v>45941</v>
      </c>
      <c r="C5" s="6" t="s">
        <v>16</v>
      </c>
      <c r="D5" s="6" t="s">
        <v>17</v>
      </c>
      <c r="E5" s="6" t="s">
        <v>18</v>
      </c>
      <c r="F5" s="7" t="s">
        <v>15</v>
      </c>
      <c r="G5" s="3">
        <v>3.93</v>
      </c>
      <c r="H5" s="3">
        <v>1000</v>
      </c>
      <c r="I5" s="3">
        <f t="shared" si="0"/>
        <v>3930</v>
      </c>
      <c r="J5" s="3">
        <v>0</v>
      </c>
      <c r="K5" s="3">
        <v>0</v>
      </c>
      <c r="L5" s="3">
        <f t="shared" si="1"/>
        <v>3930</v>
      </c>
    </row>
    <row r="6" spans="1:12" ht="15.75" customHeight="1">
      <c r="A6" s="1">
        <v>4</v>
      </c>
      <c r="B6" s="5">
        <v>45941</v>
      </c>
      <c r="C6" s="6" t="s">
        <v>16</v>
      </c>
      <c r="D6" s="6" t="s">
        <v>17</v>
      </c>
      <c r="E6" s="6" t="s">
        <v>18</v>
      </c>
      <c r="F6" s="7" t="s">
        <v>15</v>
      </c>
      <c r="G6" s="3">
        <v>4.1900000000000004</v>
      </c>
      <c r="H6" s="3">
        <v>1000</v>
      </c>
      <c r="I6" s="3">
        <f t="shared" si="0"/>
        <v>4190</v>
      </c>
      <c r="J6" s="3">
        <v>0</v>
      </c>
      <c r="K6" s="3">
        <v>0</v>
      </c>
      <c r="L6" s="3">
        <f t="shared" si="1"/>
        <v>4190</v>
      </c>
    </row>
    <row r="7" spans="1:12" ht="15.75" customHeight="1">
      <c r="A7" s="1">
        <v>5</v>
      </c>
      <c r="B7" s="5">
        <v>45941</v>
      </c>
      <c r="C7" s="6" t="s">
        <v>16</v>
      </c>
      <c r="D7" s="6" t="s">
        <v>17</v>
      </c>
      <c r="E7" s="6" t="s">
        <v>18</v>
      </c>
      <c r="F7" s="7" t="s">
        <v>15</v>
      </c>
      <c r="G7" s="3">
        <v>4.43</v>
      </c>
      <c r="H7" s="3">
        <v>1000</v>
      </c>
      <c r="I7" s="3">
        <f t="shared" si="0"/>
        <v>4430</v>
      </c>
      <c r="J7" s="3">
        <v>0</v>
      </c>
      <c r="K7" s="3">
        <v>0</v>
      </c>
      <c r="L7" s="3">
        <f t="shared" si="1"/>
        <v>4430</v>
      </c>
    </row>
    <row r="8" spans="1:12" ht="15.75" customHeight="1">
      <c r="A8" s="1">
        <v>6</v>
      </c>
      <c r="B8" s="5">
        <v>45972</v>
      </c>
      <c r="C8" s="8" t="s">
        <v>20</v>
      </c>
      <c r="D8" s="6" t="s">
        <v>21</v>
      </c>
      <c r="E8" s="6" t="s">
        <v>22</v>
      </c>
      <c r="F8" s="6" t="s">
        <v>23</v>
      </c>
      <c r="G8" s="3">
        <v>6.94</v>
      </c>
      <c r="H8" s="3">
        <v>300</v>
      </c>
      <c r="I8" s="3">
        <f>ROUND(G8*H8,-1)</f>
        <v>2080</v>
      </c>
      <c r="J8" s="3">
        <v>0</v>
      </c>
      <c r="K8" s="3">
        <v>0</v>
      </c>
      <c r="L8" s="3">
        <f t="shared" si="1"/>
        <v>2080</v>
      </c>
    </row>
    <row r="9" spans="1:12" s="11" customFormat="1" ht="15.75" customHeight="1">
      <c r="A9" s="1">
        <v>7</v>
      </c>
      <c r="B9" s="9">
        <v>46002</v>
      </c>
      <c r="C9" s="10" t="s">
        <v>16</v>
      </c>
      <c r="D9" s="10" t="s">
        <v>17</v>
      </c>
      <c r="E9" s="10" t="s">
        <v>18</v>
      </c>
      <c r="F9" s="10" t="s">
        <v>15</v>
      </c>
      <c r="G9" s="3">
        <v>4.43</v>
      </c>
      <c r="H9" s="3">
        <v>1000</v>
      </c>
      <c r="I9" s="3">
        <f t="shared" ref="I9:I11" si="2">ROUND(G9*H9,-1)</f>
        <v>4430</v>
      </c>
      <c r="J9" s="3">
        <v>300</v>
      </c>
      <c r="K9" s="3">
        <v>0</v>
      </c>
      <c r="L9" s="3">
        <f t="shared" si="1"/>
        <v>4730</v>
      </c>
    </row>
    <row r="10" spans="1:12" ht="15.75" customHeight="1">
      <c r="A10" s="1">
        <v>8</v>
      </c>
      <c r="B10" s="5" t="s">
        <v>24</v>
      </c>
      <c r="C10" s="7" t="s">
        <v>20</v>
      </c>
      <c r="D10" s="7" t="s">
        <v>13</v>
      </c>
      <c r="E10" s="7" t="s">
        <v>25</v>
      </c>
      <c r="F10" s="7" t="s">
        <v>26</v>
      </c>
      <c r="G10" s="4">
        <v>2</v>
      </c>
      <c r="H10" s="4">
        <v>1000</v>
      </c>
      <c r="I10" s="3">
        <f t="shared" si="2"/>
        <v>2000</v>
      </c>
      <c r="J10" s="4">
        <v>0</v>
      </c>
      <c r="K10" s="4">
        <v>30</v>
      </c>
      <c r="L10" s="3">
        <f>I10+J10-K10</f>
        <v>1970</v>
      </c>
    </row>
    <row r="11" spans="1:12" ht="15.75" customHeight="1">
      <c r="A11" s="1">
        <v>9</v>
      </c>
      <c r="B11" s="5" t="s">
        <v>24</v>
      </c>
      <c r="C11" s="6" t="s">
        <v>27</v>
      </c>
      <c r="D11" s="6" t="s">
        <v>21</v>
      </c>
      <c r="E11" s="6" t="s">
        <v>28</v>
      </c>
      <c r="F11" s="7" t="s">
        <v>15</v>
      </c>
      <c r="G11" s="3">
        <v>10.61</v>
      </c>
      <c r="H11" s="3">
        <v>1000</v>
      </c>
      <c r="I11" s="3">
        <f t="shared" si="2"/>
        <v>10610</v>
      </c>
      <c r="J11" s="3">
        <v>400</v>
      </c>
      <c r="K11" s="3">
        <v>0</v>
      </c>
      <c r="L11" s="3">
        <f>I11+J11-K11</f>
        <v>11010</v>
      </c>
    </row>
    <row r="12" spans="1:12">
      <c r="A12" s="12" t="s">
        <v>29</v>
      </c>
      <c r="B12" s="13"/>
      <c r="C12" s="13"/>
      <c r="D12" s="13"/>
      <c r="E12" s="13"/>
      <c r="F12" s="14"/>
      <c r="G12" s="1">
        <f>SUM(G3:G11)</f>
        <v>46.379999999999995</v>
      </c>
      <c r="H12" s="1"/>
      <c r="I12" s="1">
        <f>SUM(I3:I11)</f>
        <v>41520</v>
      </c>
      <c r="J12" s="1">
        <f>SUM(J3:J11)</f>
        <v>1700</v>
      </c>
      <c r="K12" s="1">
        <f>SUM(K3:K11)</f>
        <v>30</v>
      </c>
      <c r="L12" s="1">
        <f>SUM(L3:L11)</f>
        <v>43190</v>
      </c>
    </row>
  </sheetData>
  <mergeCells count="2">
    <mergeCell ref="A1:L1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2025-11-14T02:22:40Z</dcterms:created>
  <dcterms:modified xsi:type="dcterms:W3CDTF">2025-11-17T05:21:00Z</dcterms:modified>
</cp:coreProperties>
</file>