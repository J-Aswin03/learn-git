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60" windowWidth="150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I11" i="1"/>
  <c r="G11"/>
  <c r="K11"/>
  <c r="I10"/>
  <c r="K10" s="1"/>
  <c r="K9"/>
  <c r="I9"/>
  <c r="I8"/>
  <c r="K8" s="1"/>
  <c r="K7"/>
  <c r="I7"/>
  <c r="I6"/>
  <c r="K6" s="1"/>
</calcChain>
</file>

<file path=xl/sharedStrings.xml><?xml version="1.0" encoding="utf-8"?>
<sst xmlns="http://schemas.openxmlformats.org/spreadsheetml/2006/main" count="33" uniqueCount="17">
  <si>
    <t>sno</t>
  </si>
  <si>
    <t>DATE</t>
  </si>
  <si>
    <t>CUSTOMER NAME</t>
  </si>
  <si>
    <t>PLACE</t>
  </si>
  <si>
    <t>VEHICLE NO</t>
  </si>
  <si>
    <t>MATERIAL</t>
  </si>
  <si>
    <t>QTY</t>
  </si>
  <si>
    <t>RATE</t>
  </si>
  <si>
    <t>AMOUNT</t>
  </si>
  <si>
    <t>PASS</t>
  </si>
  <si>
    <t>NET AMOUNT</t>
  </si>
  <si>
    <t>CHRISTUNAGAR</t>
  </si>
  <si>
    <t>TN22CS3989</t>
  </si>
  <si>
    <t>ROUGH STONE</t>
  </si>
  <si>
    <t>TOTAL</t>
  </si>
  <si>
    <t>REENA TRADERS</t>
  </si>
  <si>
    <t>9/11/25 TO 15/11/25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</si>
</sst>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3:K21"/>
  <sheetViews>
    <sheetView tabSelected="1" workbookViewId="0">
      <selection activeCell="H14" sqref="H14"/>
    </sheetView>
  </sheetViews>
  <sheetFormatPr defaultRowHeight="15"/>
  <cols>
    <col min="2" max="2" width="10.7109375" bestFit="1" customWidth="1"/>
    <col min="3" max="3" width="15.28515625" bestFit="1" customWidth="1"/>
    <col min="4" max="4" width="15" customWidth="1"/>
    <col min="5" max="5" width="12" bestFit="1" customWidth="1"/>
    <col min="6" max="6" width="13.42578125" customWidth="1"/>
  </cols>
  <sheetData>
    <row r="3" spans="1:11">
      <c r="E3" t="s">
        <v>16</v>
      </c>
    </row>
    <row r="5" spans="1:11" ht="30">
      <c r="A5" s="1" t="s">
        <v>0</v>
      </c>
      <c r="B5" s="1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</row>
    <row r="6" spans="1:11" ht="20.25" customHeight="1">
      <c r="A6" s="2">
        <v>1</v>
      </c>
      <c r="B6" s="3">
        <v>45941</v>
      </c>
      <c r="C6" s="4" t="s">
        <v>15</v>
      </c>
      <c r="D6" s="2" t="s">
        <v>11</v>
      </c>
      <c r="E6" s="2" t="s">
        <v>12</v>
      </c>
      <c r="F6" s="2" t="s">
        <v>13</v>
      </c>
      <c r="G6" s="2">
        <v>6.1</v>
      </c>
      <c r="H6" s="2">
        <v>1000</v>
      </c>
      <c r="I6" s="2">
        <f>G6*H6</f>
        <v>6100</v>
      </c>
      <c r="J6" s="2">
        <v>400</v>
      </c>
      <c r="K6" s="2">
        <f>ROUND(I6+J6,-1)</f>
        <v>6500</v>
      </c>
    </row>
    <row r="7" spans="1:11" ht="20.25" customHeight="1">
      <c r="A7" s="2">
        <v>2</v>
      </c>
      <c r="B7" s="3">
        <v>45941</v>
      </c>
      <c r="C7" s="4" t="s">
        <v>15</v>
      </c>
      <c r="D7" s="2" t="s">
        <v>11</v>
      </c>
      <c r="E7" s="2" t="s">
        <v>12</v>
      </c>
      <c r="F7" s="2" t="s">
        <v>13</v>
      </c>
      <c r="G7" s="2">
        <v>6.13</v>
      </c>
      <c r="H7" s="2">
        <v>1000</v>
      </c>
      <c r="I7" s="2">
        <f>G7*H7</f>
        <v>6130</v>
      </c>
      <c r="J7" s="2">
        <v>0</v>
      </c>
      <c r="K7" s="2">
        <f>ROUND(I7+J7,-1)</f>
        <v>6130</v>
      </c>
    </row>
    <row r="8" spans="1:11" ht="20.25" customHeight="1">
      <c r="A8" s="2">
        <v>3</v>
      </c>
      <c r="B8" s="3">
        <v>45941</v>
      </c>
      <c r="C8" s="4" t="s">
        <v>15</v>
      </c>
      <c r="D8" s="2" t="s">
        <v>11</v>
      </c>
      <c r="E8" s="2" t="s">
        <v>12</v>
      </c>
      <c r="F8" s="2" t="s">
        <v>13</v>
      </c>
      <c r="G8" s="2">
        <v>6.04</v>
      </c>
      <c r="H8" s="2">
        <v>1000</v>
      </c>
      <c r="I8" s="2">
        <f>G8*H8</f>
        <v>6040</v>
      </c>
      <c r="J8" s="2">
        <v>0</v>
      </c>
      <c r="K8" s="2">
        <f>ROUND(I8+J8,-1)</f>
        <v>6040</v>
      </c>
    </row>
    <row r="9" spans="1:11" ht="20.25" customHeight="1">
      <c r="A9" s="2">
        <v>4</v>
      </c>
      <c r="B9" s="3">
        <v>45941</v>
      </c>
      <c r="C9" s="4" t="s">
        <v>15</v>
      </c>
      <c r="D9" s="2" t="s">
        <v>11</v>
      </c>
      <c r="E9" s="2" t="s">
        <v>12</v>
      </c>
      <c r="F9" s="2" t="s">
        <v>13</v>
      </c>
      <c r="G9" s="2">
        <v>6.22</v>
      </c>
      <c r="H9" s="2">
        <v>1000</v>
      </c>
      <c r="I9" s="2">
        <f>G9*H9</f>
        <v>6220</v>
      </c>
      <c r="J9" s="2">
        <v>0</v>
      </c>
      <c r="K9" s="2">
        <f>ROUND(I9+J9,-1)</f>
        <v>6220</v>
      </c>
    </row>
    <row r="10" spans="1:11" ht="20.25" customHeight="1">
      <c r="A10" s="2">
        <v>5</v>
      </c>
      <c r="B10" s="3">
        <v>45941</v>
      </c>
      <c r="C10" s="4" t="s">
        <v>15</v>
      </c>
      <c r="D10" s="2" t="s">
        <v>11</v>
      </c>
      <c r="E10" s="2" t="s">
        <v>12</v>
      </c>
      <c r="F10" s="2" t="s">
        <v>13</v>
      </c>
      <c r="G10" s="2">
        <v>5.61</v>
      </c>
      <c r="H10" s="2">
        <v>1000</v>
      </c>
      <c r="I10" s="2">
        <f>G10*H10</f>
        <v>5610</v>
      </c>
      <c r="J10" s="2">
        <v>0</v>
      </c>
      <c r="K10" s="2">
        <f>ROUND(I10+J10,-1)</f>
        <v>5610</v>
      </c>
    </row>
    <row r="11" spans="1:11" ht="20.25" customHeight="1">
      <c r="A11" s="5" t="s">
        <v>14</v>
      </c>
      <c r="B11" s="6"/>
      <c r="C11" s="6"/>
      <c r="D11" s="6"/>
      <c r="E11" s="6"/>
      <c r="F11" s="7"/>
      <c r="G11" s="8">
        <f>SUM(G6:G10)</f>
        <v>30.099999999999998</v>
      </c>
      <c r="H11" s="8"/>
      <c r="I11" s="8">
        <f>SUM(I6:I10)</f>
        <v>30100</v>
      </c>
      <c r="J11" s="8"/>
      <c r="K11" s="2">
        <f>SUM(K6:K10)</f>
        <v>30500</v>
      </c>
    </row>
    <row r="12" spans="1:11" ht="20.25" customHeight="1"/>
    <row r="13" spans="1:11" ht="20.25" customHeight="1"/>
    <row r="14" spans="1:11" ht="20.25" customHeight="1"/>
    <row r="15" spans="1:11" ht="20.25" customHeight="1"/>
    <row r="16" spans="1:11" ht="20.25" customHeight="1"/>
    <row r="17" ht="20.25" customHeight="1"/>
    <row r="18" ht="20.25" customHeight="1"/>
    <row r="19" ht="20.25" customHeight="1"/>
    <row r="20" ht="20.25" customHeight="1"/>
    <row r="21" ht="20.25" customHeight="1"/>
  </sheetData>
  <mergeCells count="1">
    <mergeCell ref="A11:F11"/>
  </mergeCells>
  <pageMargins left="0.7" right="0.7" top="0.75" bottom="0.75" header="0.3" footer="0.3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PMS</dc:creator>
  <cp:lastModifiedBy>PMS</cp:lastModifiedBy>
  <cp:lastPrinted>2025-11-15T02:46:50Z</cp:lastPrinted>
  <dcterms:created xsi:type="dcterms:W3CDTF">2025-11-12T04:19:15Z</dcterms:created>
  <dcterms:modified xsi:type="dcterms:W3CDTF">2025-11-15T02:47:11Z</dcterms:modified>
</cp:coreProperties>
</file>