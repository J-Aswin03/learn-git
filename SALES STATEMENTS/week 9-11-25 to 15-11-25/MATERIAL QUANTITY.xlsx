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30" windowWidth="14535" windowHeight="70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8" i="1"/>
  <c r="G65"/>
  <c r="G60" l="1"/>
  <c r="G59"/>
  <c r="G5" l="1"/>
  <c r="G20"/>
  <c r="G10"/>
  <c r="I19"/>
  <c r="L19" s="1"/>
  <c r="I18"/>
  <c r="L18" s="1"/>
  <c r="I17"/>
  <c r="L17" s="1"/>
  <c r="I16"/>
  <c r="L16" s="1"/>
  <c r="I15"/>
  <c r="L15" s="1"/>
  <c r="I14"/>
  <c r="L14" s="1"/>
  <c r="I13"/>
  <c r="L13" s="1"/>
  <c r="I12"/>
  <c r="L12" s="1"/>
  <c r="I11"/>
  <c r="L11" s="1"/>
  <c r="I27"/>
  <c r="L27" s="1"/>
  <c r="I26"/>
  <c r="L26" s="1"/>
  <c r="I25"/>
  <c r="L25" s="1"/>
  <c r="I9"/>
  <c r="L9" s="1"/>
  <c r="I8"/>
  <c r="L8" s="1"/>
  <c r="I7"/>
  <c r="L7" s="1"/>
  <c r="I4"/>
  <c r="L4" s="1"/>
  <c r="I3"/>
  <c r="L3" s="1"/>
  <c r="I2"/>
  <c r="L2" s="1"/>
  <c r="I6"/>
  <c r="L6" s="1"/>
  <c r="L28" l="1"/>
  <c r="L10"/>
  <c r="L20"/>
  <c r="G21" l="1"/>
  <c r="L5"/>
  <c r="L21"/>
</calcChain>
</file>

<file path=xl/sharedStrings.xml><?xml version="1.0" encoding="utf-8"?>
<sst xmlns="http://schemas.openxmlformats.org/spreadsheetml/2006/main" count="211" uniqueCount="72">
  <si>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</si>
  <si>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</si>
  <si>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</si>
  <si>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</si>
  <si>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</si>
  <si>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</si>
  <si>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</si>
  <si>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</si>
  <si>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</si>
  <si>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</si>
  <si>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BATA</t>
  </si>
  <si>
    <t>NET AMOUNT</t>
  </si>
  <si>
    <t>GANESH</t>
  </si>
  <si>
    <t>SEETHAPAL</t>
  </si>
  <si>
    <t>TN32CS3690</t>
  </si>
  <si>
    <t>ROUGH STONE</t>
  </si>
  <si>
    <t>SMD</t>
  </si>
  <si>
    <t>KAMARAJ NAGAR</t>
  </si>
  <si>
    <t>TN74P6459</t>
  </si>
  <si>
    <t>RAMESH</t>
  </si>
  <si>
    <t>POOTHAPANDI</t>
  </si>
  <si>
    <t>TN75AU7530</t>
  </si>
  <si>
    <t>WASTE</t>
  </si>
  <si>
    <t>13/11/25</t>
  </si>
  <si>
    <t>TN74AW9868</t>
  </si>
  <si>
    <t>6MM</t>
  </si>
  <si>
    <t>PAUL</t>
  </si>
  <si>
    <t>TN74BH0625</t>
  </si>
  <si>
    <t>LEON</t>
  </si>
  <si>
    <t>CHRISTUNAGAR</t>
  </si>
  <si>
    <t>TN22CS3989</t>
  </si>
  <si>
    <t>TN22CS3990</t>
  </si>
  <si>
    <t>TN22CS3991</t>
  </si>
  <si>
    <t>TN22CS3992</t>
  </si>
  <si>
    <t>TN22CS3993</t>
  </si>
  <si>
    <t>SHEK</t>
  </si>
  <si>
    <t>THADIKARAKONAM</t>
  </si>
  <si>
    <t>TN74AF7096</t>
  </si>
  <si>
    <t>TN74AF7097</t>
  </si>
  <si>
    <t>TN75AK2350</t>
  </si>
  <si>
    <t>VIJAY</t>
  </si>
  <si>
    <t>THOOPUR</t>
  </si>
  <si>
    <t>TN74BC7751</t>
  </si>
  <si>
    <t>TN74BC7752</t>
  </si>
  <si>
    <t>ALVIN PRAVEEN</t>
  </si>
  <si>
    <t>ESANTHIMANGALAM</t>
  </si>
  <si>
    <t>TN74BD1192</t>
  </si>
  <si>
    <t>PAREETH</t>
  </si>
  <si>
    <t>SURULODU</t>
  </si>
  <si>
    <t>TN74AA0427</t>
  </si>
  <si>
    <t>TN74AU9677</t>
  </si>
  <si>
    <t>TN74BH3271</t>
  </si>
  <si>
    <t>TN74BE7751</t>
  </si>
  <si>
    <t>BRUCE</t>
  </si>
  <si>
    <t>CULACHEL</t>
  </si>
  <si>
    <t>TN74Q7473</t>
  </si>
  <si>
    <t>THITTUVILAI</t>
  </si>
  <si>
    <t>TN65Y3718</t>
  </si>
  <si>
    <t>14/11/2025</t>
  </si>
  <si>
    <t>ARUL</t>
  </si>
  <si>
    <t>NAGERCOIL</t>
  </si>
  <si>
    <t>TN74BC3735</t>
  </si>
  <si>
    <t>WET MIX</t>
  </si>
  <si>
    <t>TN74BE3132</t>
  </si>
  <si>
    <t>15/11/2025</t>
  </si>
  <si>
    <t>15/11/25</t>
  </si>
  <si>
    <t>ROUGH STONE Total</t>
  </si>
  <si>
    <t>WASTE Total</t>
  </si>
  <si>
    <t>6MM Total</t>
  </si>
  <si>
    <t>WET MIX Total</t>
  </si>
  <si>
    <t>Grand Total</t>
  </si>
  <si>
    <t>AMAR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</si>
</sst>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left"/>
    </xf>
    <xf numFmtId="14" fontId="0" fillId="0" borderId="1" xfId="0" applyNumberFormat="1" applyBorder="1" applyAlignment="1"/>
    <xf numFmtId="0" fontId="0" fillId="0" borderId="1" xfId="0" applyBorder="1" applyAlignment="1"/>
    <xf numFmtId="0" fontId="0" fillId="0" borderId="1" xfId="0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/>
    <xf numFmtId="1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0" fontId="0" fillId="0" borderId="0" xfId="0" applyBorder="1" applyAlignment="1"/>
    <xf numFmtId="14" fontId="0" fillId="0" borderId="0" xfId="0" applyNumberFormat="1" applyBorder="1" applyAlignment="1"/>
    <xf numFmtId="0" fontId="1" fillId="0" borderId="0" xfId="0" applyFont="1" applyBorder="1" applyAlignment="1"/>
    <xf numFmtId="0" fontId="1" fillId="0" borderId="1" xfId="0" applyNumberFormat="1" applyFont="1" applyBorder="1" applyAlignment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1" fillId="0" borderId="0" xfId="0" applyNumberFormat="1" applyFont="1" applyBorder="1" applyAlignment="1"/>
    <xf numFmtId="0" fontId="0" fillId="0" borderId="0" xfId="0" applyBorder="1" applyAlignment="1">
      <alignment horizontal="center"/>
    </xf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5"/>
  <sheetViews>
    <sheetView tabSelected="1" topLeftCell="A52" workbookViewId="0">
      <selection activeCell="H71" sqref="H71"/>
    </sheetView>
  </sheetViews>
  <sheetFormatPr defaultRowHeight="15" outlineLevelRow="2"/>
  <cols>
    <col min="1" max="1" width="6.85546875" customWidth="1"/>
    <col min="2" max="2" width="11.7109375" customWidth="1"/>
    <col min="3" max="3" width="15" customWidth="1"/>
    <col min="4" max="4" width="19.7109375" bestFit="1" customWidth="1"/>
    <col min="5" max="5" width="12.5703125" bestFit="1" customWidth="1"/>
    <col min="6" max="6" width="13.85546875" bestFit="1" customWidth="1"/>
    <col min="12" max="12" width="9.140625" customWidth="1"/>
  </cols>
  <sheetData>
    <row r="1" spans="1:12" ht="28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0" customFormat="1" ht="16.5" customHeight="1" outlineLevel="2">
      <c r="A2" s="8">
        <v>8</v>
      </c>
      <c r="B2" s="3" t="s">
        <v>23</v>
      </c>
      <c r="C2" s="9" t="s">
        <v>19</v>
      </c>
      <c r="D2" s="9" t="s">
        <v>13</v>
      </c>
      <c r="E2" s="9" t="s">
        <v>24</v>
      </c>
      <c r="F2" s="9" t="s">
        <v>25</v>
      </c>
      <c r="G2" s="11">
        <v>2</v>
      </c>
      <c r="H2" s="11">
        <v>1000</v>
      </c>
      <c r="I2" s="5">
        <f>G2*H2</f>
        <v>2000</v>
      </c>
      <c r="J2" s="11">
        <v>0</v>
      </c>
      <c r="K2" s="11">
        <v>30</v>
      </c>
      <c r="L2" s="5">
        <f>I2+J2-K2</f>
        <v>1970</v>
      </c>
    </row>
    <row r="3" spans="1:12" s="10" customFormat="1" ht="16.5" customHeight="1" outlineLevel="2">
      <c r="A3" s="8">
        <v>21</v>
      </c>
      <c r="B3" s="13">
        <v>45941</v>
      </c>
      <c r="C3" s="9" t="s">
        <v>44</v>
      </c>
      <c r="D3" s="9" t="s">
        <v>45</v>
      </c>
      <c r="E3" s="9" t="s">
        <v>46</v>
      </c>
      <c r="F3" s="12" t="s">
        <v>25</v>
      </c>
      <c r="G3" s="14">
        <v>5.88</v>
      </c>
      <c r="H3" s="11">
        <v>1000</v>
      </c>
      <c r="I3" s="11">
        <f>G3*H3</f>
        <v>5880</v>
      </c>
      <c r="J3" s="11">
        <v>0</v>
      </c>
      <c r="K3" s="11">
        <v>0</v>
      </c>
      <c r="L3" s="11">
        <f>ROUND(I3+J3,-1)</f>
        <v>5880</v>
      </c>
    </row>
    <row r="4" spans="1:12" s="10" customFormat="1" ht="16.5" customHeight="1" outlineLevel="2">
      <c r="A4" s="8">
        <v>22</v>
      </c>
      <c r="B4" s="13">
        <v>45941</v>
      </c>
      <c r="C4" s="9" t="s">
        <v>44</v>
      </c>
      <c r="D4" s="9" t="s">
        <v>45</v>
      </c>
      <c r="E4" s="9" t="s">
        <v>46</v>
      </c>
      <c r="F4" s="12" t="s">
        <v>25</v>
      </c>
      <c r="G4" s="14">
        <v>6.57</v>
      </c>
      <c r="H4" s="11">
        <v>1000</v>
      </c>
      <c r="I4" s="11">
        <f>G4*H4</f>
        <v>6570</v>
      </c>
      <c r="J4" s="11">
        <v>0</v>
      </c>
      <c r="K4" s="11">
        <v>0</v>
      </c>
      <c r="L4" s="11">
        <f>ROUND(I4+J4,-1)</f>
        <v>6570</v>
      </c>
    </row>
    <row r="5" spans="1:12" s="10" customFormat="1" ht="16.5" customHeight="1" outlineLevel="1">
      <c r="A5" s="8"/>
      <c r="B5" s="3"/>
      <c r="C5" s="4"/>
      <c r="D5" s="4"/>
      <c r="E5" s="4"/>
      <c r="F5" s="23" t="s">
        <v>68</v>
      </c>
      <c r="G5" s="5">
        <f>SUBTOTAL(9,G2:G4)</f>
        <v>14.45</v>
      </c>
      <c r="H5" s="5"/>
      <c r="I5" s="5"/>
      <c r="J5" s="5"/>
      <c r="K5" s="11"/>
      <c r="L5" s="11">
        <f ca="1">SUBTOTAL(9,L2:L27)</f>
        <v>31700</v>
      </c>
    </row>
    <row r="6" spans="1:12" s="10" customFormat="1" outlineLevel="2">
      <c r="A6" s="8">
        <v>6</v>
      </c>
      <c r="B6" s="3">
        <v>45972</v>
      </c>
      <c r="C6" s="6" t="s">
        <v>19</v>
      </c>
      <c r="D6" s="4" t="s">
        <v>20</v>
      </c>
      <c r="E6" s="4" t="s">
        <v>21</v>
      </c>
      <c r="F6" s="4" t="s">
        <v>22</v>
      </c>
      <c r="G6" s="5">
        <v>6.94</v>
      </c>
      <c r="H6" s="5">
        <v>300</v>
      </c>
      <c r="I6" s="5">
        <f>G6*H6</f>
        <v>2082</v>
      </c>
      <c r="J6" s="5">
        <v>0</v>
      </c>
      <c r="K6" s="5">
        <v>0</v>
      </c>
      <c r="L6" s="5">
        <f>I6+J6-K6</f>
        <v>2082</v>
      </c>
    </row>
    <row r="7" spans="1:12" s="10" customFormat="1" outlineLevel="2">
      <c r="A7" s="8">
        <v>23</v>
      </c>
      <c r="B7" s="13">
        <v>45941</v>
      </c>
      <c r="C7" s="15" t="s">
        <v>47</v>
      </c>
      <c r="D7" s="15" t="s">
        <v>48</v>
      </c>
      <c r="E7" s="15" t="s">
        <v>49</v>
      </c>
      <c r="F7" s="12" t="s">
        <v>22</v>
      </c>
      <c r="G7" s="14">
        <v>4.45</v>
      </c>
      <c r="H7" s="14">
        <v>300</v>
      </c>
      <c r="I7" s="14">
        <f>G7*H7</f>
        <v>1335</v>
      </c>
      <c r="J7" s="11">
        <v>0</v>
      </c>
      <c r="K7" s="11">
        <v>0</v>
      </c>
      <c r="L7" s="11">
        <f>ROUND(I7+J7,-1)</f>
        <v>1340</v>
      </c>
    </row>
    <row r="8" spans="1:12" s="10" customFormat="1" outlineLevel="2">
      <c r="A8" s="8">
        <v>24</v>
      </c>
      <c r="B8" s="13">
        <v>45941</v>
      </c>
      <c r="C8" s="15" t="s">
        <v>47</v>
      </c>
      <c r="D8" s="15" t="s">
        <v>48</v>
      </c>
      <c r="E8" s="15" t="s">
        <v>49</v>
      </c>
      <c r="F8" s="12" t="s">
        <v>22</v>
      </c>
      <c r="G8" s="5">
        <v>4.71</v>
      </c>
      <c r="H8" s="14">
        <v>300</v>
      </c>
      <c r="I8" s="5">
        <f>G8*H8</f>
        <v>1413</v>
      </c>
      <c r="J8" s="11">
        <v>0</v>
      </c>
      <c r="K8" s="11">
        <v>0</v>
      </c>
      <c r="L8" s="11">
        <f>ROUND(I8+J8,-1)</f>
        <v>1410</v>
      </c>
    </row>
    <row r="9" spans="1:12" s="10" customFormat="1" outlineLevel="2">
      <c r="A9" s="8">
        <v>25</v>
      </c>
      <c r="B9" s="13">
        <v>45941</v>
      </c>
      <c r="C9" s="15" t="s">
        <v>47</v>
      </c>
      <c r="D9" s="15" t="s">
        <v>48</v>
      </c>
      <c r="E9" s="4" t="s">
        <v>50</v>
      </c>
      <c r="F9" s="12" t="s">
        <v>22</v>
      </c>
      <c r="G9" s="5">
        <v>4.43</v>
      </c>
      <c r="H9" s="14">
        <v>300</v>
      </c>
      <c r="I9" s="5">
        <f>G9*H9</f>
        <v>1329</v>
      </c>
      <c r="J9" s="11">
        <v>400</v>
      </c>
      <c r="K9" s="11">
        <v>0</v>
      </c>
      <c r="L9" s="11">
        <f>ROUND(I9+J9,-1)</f>
        <v>1730</v>
      </c>
    </row>
    <row r="10" spans="1:12" s="10" customFormat="1" outlineLevel="1">
      <c r="A10" s="8"/>
      <c r="B10" s="13"/>
      <c r="C10" s="15"/>
      <c r="D10" s="15"/>
      <c r="E10" s="4"/>
      <c r="F10" s="19" t="s">
        <v>67</v>
      </c>
      <c r="G10" s="5">
        <f>SUBTOTAL(9,G6:G9)</f>
        <v>20.53</v>
      </c>
      <c r="H10" s="14"/>
      <c r="I10" s="5"/>
      <c r="J10" s="11"/>
      <c r="K10" s="11"/>
      <c r="L10" s="11">
        <f>SUBTOTAL(9,L6:L9)</f>
        <v>6562</v>
      </c>
    </row>
    <row r="11" spans="1:12" s="10" customFormat="1" outlineLevel="2">
      <c r="A11" s="8">
        <v>37</v>
      </c>
      <c r="B11" s="3" t="s">
        <v>58</v>
      </c>
      <c r="C11" s="9" t="s">
        <v>59</v>
      </c>
      <c r="D11" s="9" t="s">
        <v>60</v>
      </c>
      <c r="E11" s="9" t="s">
        <v>61</v>
      </c>
      <c r="F11" s="8" t="s">
        <v>62</v>
      </c>
      <c r="G11" s="11">
        <v>9.1199999999999992</v>
      </c>
      <c r="H11" s="11">
        <v>1050</v>
      </c>
      <c r="I11" s="5">
        <f>G11*H11</f>
        <v>9576</v>
      </c>
      <c r="J11" s="11">
        <v>500</v>
      </c>
      <c r="K11" s="11">
        <v>0</v>
      </c>
      <c r="L11" s="11">
        <f>ROUND(I11+J11,-1)</f>
        <v>10080</v>
      </c>
    </row>
    <row r="12" spans="1:12" s="10" customFormat="1" outlineLevel="2">
      <c r="A12" s="8">
        <v>38</v>
      </c>
      <c r="B12" s="3" t="s">
        <v>58</v>
      </c>
      <c r="C12" s="4" t="s">
        <v>59</v>
      </c>
      <c r="D12" s="4" t="s">
        <v>60</v>
      </c>
      <c r="E12" s="4" t="s">
        <v>63</v>
      </c>
      <c r="F12" s="8" t="s">
        <v>62</v>
      </c>
      <c r="G12" s="5">
        <v>9.16</v>
      </c>
      <c r="H12" s="5">
        <v>1050</v>
      </c>
      <c r="I12" s="5">
        <f>ROUND(G12*H12,-1)</f>
        <v>9620</v>
      </c>
      <c r="J12" s="5">
        <v>500</v>
      </c>
      <c r="K12" s="11">
        <v>0</v>
      </c>
      <c r="L12" s="11">
        <f>ROUND(I12+J12,-1)</f>
        <v>10120</v>
      </c>
    </row>
    <row r="13" spans="1:12" s="10" customFormat="1" outlineLevel="2">
      <c r="A13" s="8">
        <v>39</v>
      </c>
      <c r="B13" s="3" t="s">
        <v>58</v>
      </c>
      <c r="C13" s="8" t="s">
        <v>59</v>
      </c>
      <c r="D13" s="8" t="s">
        <v>60</v>
      </c>
      <c r="E13" s="16" t="s">
        <v>61</v>
      </c>
      <c r="F13" s="8" t="s">
        <v>62</v>
      </c>
      <c r="G13" s="17">
        <v>9.39</v>
      </c>
      <c r="H13" s="8">
        <v>1050</v>
      </c>
      <c r="I13" s="8">
        <f>ROUND(G13*H13,-1)</f>
        <v>9860</v>
      </c>
      <c r="J13" s="17">
        <v>0</v>
      </c>
      <c r="K13" s="11">
        <v>0</v>
      </c>
      <c r="L13" s="11">
        <f>ROUND(I13+J13,-1)</f>
        <v>9860</v>
      </c>
    </row>
    <row r="14" spans="1:12" s="10" customFormat="1" outlineLevel="2">
      <c r="A14" s="8">
        <v>40</v>
      </c>
      <c r="B14" s="3" t="s">
        <v>58</v>
      </c>
      <c r="C14" s="8" t="s">
        <v>59</v>
      </c>
      <c r="D14" s="8" t="s">
        <v>60</v>
      </c>
      <c r="E14" s="8" t="s">
        <v>63</v>
      </c>
      <c r="F14" s="8" t="s">
        <v>62</v>
      </c>
      <c r="G14" s="17">
        <v>9.0500000000000007</v>
      </c>
      <c r="H14" s="8">
        <v>1050</v>
      </c>
      <c r="I14" s="8">
        <f>ROUND(G14*H14,-1)</f>
        <v>9500</v>
      </c>
      <c r="J14" s="17">
        <v>0</v>
      </c>
      <c r="K14" s="11">
        <v>0</v>
      </c>
      <c r="L14" s="11">
        <f>ROUND(I14+J14,-1)</f>
        <v>9500</v>
      </c>
    </row>
    <row r="15" spans="1:12" s="10" customFormat="1" outlineLevel="2">
      <c r="A15" s="8">
        <v>41</v>
      </c>
      <c r="B15" s="3" t="s">
        <v>58</v>
      </c>
      <c r="C15" s="8" t="s">
        <v>59</v>
      </c>
      <c r="D15" s="8" t="s">
        <v>60</v>
      </c>
      <c r="E15" s="16" t="s">
        <v>61</v>
      </c>
      <c r="F15" s="8" t="s">
        <v>62</v>
      </c>
      <c r="G15" s="17">
        <v>9.41</v>
      </c>
      <c r="H15" s="8">
        <v>1050</v>
      </c>
      <c r="I15" s="8">
        <f>ROUND(G15*H15,-1)</f>
        <v>9880</v>
      </c>
      <c r="J15" s="17">
        <v>0</v>
      </c>
      <c r="K15" s="11">
        <v>0</v>
      </c>
      <c r="L15" s="11">
        <f>ROUND(I15+J15,-1)</f>
        <v>9880</v>
      </c>
    </row>
    <row r="16" spans="1:12" s="10" customFormat="1" outlineLevel="2">
      <c r="A16" s="8">
        <v>42</v>
      </c>
      <c r="B16" s="3" t="s">
        <v>58</v>
      </c>
      <c r="C16" s="8" t="s">
        <v>59</v>
      </c>
      <c r="D16" s="8" t="s">
        <v>60</v>
      </c>
      <c r="E16" s="8" t="s">
        <v>63</v>
      </c>
      <c r="F16" s="8" t="s">
        <v>62</v>
      </c>
      <c r="G16" s="17">
        <v>9.36</v>
      </c>
      <c r="H16" s="8">
        <v>1050</v>
      </c>
      <c r="I16" s="8">
        <f>ROUND(G16*H16,-1)</f>
        <v>9830</v>
      </c>
      <c r="J16" s="17">
        <v>0</v>
      </c>
      <c r="K16" s="11">
        <v>0</v>
      </c>
      <c r="L16" s="11">
        <f>ROUND(I16+J16,-1)</f>
        <v>9830</v>
      </c>
    </row>
    <row r="17" spans="1:12" s="10" customFormat="1" outlineLevel="2">
      <c r="A17" s="8">
        <v>43</v>
      </c>
      <c r="B17" s="7" t="s">
        <v>64</v>
      </c>
      <c r="C17" s="8" t="s">
        <v>59</v>
      </c>
      <c r="D17" s="8" t="s">
        <v>60</v>
      </c>
      <c r="E17" s="8" t="s">
        <v>63</v>
      </c>
      <c r="F17" s="8" t="s">
        <v>62</v>
      </c>
      <c r="G17" s="17">
        <v>9.08</v>
      </c>
      <c r="H17" s="8">
        <v>1050</v>
      </c>
      <c r="I17" s="8">
        <f>ROUND(G17*H17,-1)</f>
        <v>9530</v>
      </c>
      <c r="J17" s="17">
        <v>500</v>
      </c>
      <c r="K17" s="11">
        <v>0</v>
      </c>
      <c r="L17" s="11">
        <f>ROUND(I17+J17,-1)</f>
        <v>10030</v>
      </c>
    </row>
    <row r="18" spans="1:12" s="10" customFormat="1" outlineLevel="2">
      <c r="A18" s="8">
        <v>44</v>
      </c>
      <c r="B18" s="7" t="s">
        <v>64</v>
      </c>
      <c r="C18" s="8" t="s">
        <v>59</v>
      </c>
      <c r="D18" s="8" t="s">
        <v>60</v>
      </c>
      <c r="E18" s="16" t="s">
        <v>61</v>
      </c>
      <c r="F18" s="8" t="s">
        <v>62</v>
      </c>
      <c r="G18" s="17">
        <v>9.41</v>
      </c>
      <c r="H18" s="8">
        <v>1050</v>
      </c>
      <c r="I18" s="8">
        <f>ROUND(G18*H18,-1)</f>
        <v>9880</v>
      </c>
      <c r="J18" s="17">
        <v>500</v>
      </c>
      <c r="K18" s="11">
        <v>0</v>
      </c>
      <c r="L18" s="11">
        <f>ROUND(I18+J18,-1)</f>
        <v>10380</v>
      </c>
    </row>
    <row r="19" spans="1:12" s="10" customFormat="1" outlineLevel="2">
      <c r="A19" s="8">
        <v>45</v>
      </c>
      <c r="B19" s="7" t="s">
        <v>65</v>
      </c>
      <c r="C19" s="8" t="s">
        <v>59</v>
      </c>
      <c r="D19" s="8" t="s">
        <v>60</v>
      </c>
      <c r="E19" s="8" t="s">
        <v>63</v>
      </c>
      <c r="F19" s="8" t="s">
        <v>62</v>
      </c>
      <c r="G19" s="8">
        <v>9.3699999999999992</v>
      </c>
      <c r="H19" s="8">
        <v>1050</v>
      </c>
      <c r="I19" s="8">
        <f>ROUND(G19*H19,-1)</f>
        <v>9840</v>
      </c>
      <c r="J19" s="8">
        <v>0</v>
      </c>
      <c r="K19" s="8">
        <v>0</v>
      </c>
      <c r="L19" s="8">
        <f>ROUND(I19+J19-K19,-1)</f>
        <v>9840</v>
      </c>
    </row>
    <row r="20" spans="1:12" s="10" customFormat="1" outlineLevel="1">
      <c r="A20" s="20"/>
      <c r="B20" s="21"/>
      <c r="C20" s="20"/>
      <c r="D20" s="20"/>
      <c r="E20" s="20"/>
      <c r="F20" s="22" t="s">
        <v>69</v>
      </c>
      <c r="G20" s="20">
        <f>SUBTOTAL(9,G11:G19)</f>
        <v>83.35</v>
      </c>
      <c r="H20" s="20"/>
      <c r="I20" s="20"/>
      <c r="J20" s="20"/>
      <c r="K20" s="20"/>
      <c r="L20" s="20">
        <f>SUBTOTAL(9,L11:L19)</f>
        <v>89520</v>
      </c>
    </row>
    <row r="21" spans="1:12" s="10" customFormat="1">
      <c r="A21" s="20"/>
      <c r="B21" s="21"/>
      <c r="C21" s="20"/>
      <c r="D21" s="20"/>
      <c r="E21" s="20"/>
      <c r="F21" s="22" t="s">
        <v>70</v>
      </c>
      <c r="G21" s="20">
        <f>SUBTOTAL(9,G2:G19)</f>
        <v>118.33</v>
      </c>
      <c r="H21" s="20"/>
      <c r="I21" s="20"/>
      <c r="J21" s="20"/>
      <c r="K21" s="20"/>
      <c r="L21" s="20">
        <f ca="1">SUBTOTAL(9,L2:L19)</f>
        <v>127782</v>
      </c>
    </row>
    <row r="25" spans="1:12" s="10" customFormat="1" ht="16.5" customHeight="1">
      <c r="A25" s="8">
        <v>28</v>
      </c>
      <c r="B25" s="3">
        <v>45972</v>
      </c>
      <c r="C25" s="4" t="s">
        <v>53</v>
      </c>
      <c r="D25" s="4" t="s">
        <v>54</v>
      </c>
      <c r="E25" s="4" t="s">
        <v>55</v>
      </c>
      <c r="F25" s="8" t="s">
        <v>25</v>
      </c>
      <c r="G25" s="5">
        <v>5.29</v>
      </c>
      <c r="H25" s="5">
        <v>1000</v>
      </c>
      <c r="I25" s="5">
        <f>G25*H25</f>
        <v>5290</v>
      </c>
      <c r="J25" s="5">
        <v>500</v>
      </c>
      <c r="K25" s="11">
        <v>0</v>
      </c>
      <c r="L25" s="11">
        <f>ROUND(I25+J25,-1)</f>
        <v>5790</v>
      </c>
    </row>
    <row r="26" spans="1:12" s="10" customFormat="1" ht="16.5" customHeight="1" outlineLevel="2">
      <c r="A26" s="8">
        <v>29</v>
      </c>
      <c r="B26" s="3">
        <v>45972</v>
      </c>
      <c r="C26" s="4" t="s">
        <v>53</v>
      </c>
      <c r="D26" s="4" t="s">
        <v>54</v>
      </c>
      <c r="E26" s="4" t="s">
        <v>55</v>
      </c>
      <c r="F26" s="8" t="s">
        <v>25</v>
      </c>
      <c r="G26" s="5">
        <v>5.66</v>
      </c>
      <c r="H26" s="5">
        <v>1000</v>
      </c>
      <c r="I26" s="5">
        <f>G26*H26</f>
        <v>5660</v>
      </c>
      <c r="J26" s="5">
        <v>0</v>
      </c>
      <c r="K26" s="11">
        <v>0</v>
      </c>
      <c r="L26" s="11">
        <f>ROUND(I26+J26,-1)</f>
        <v>5660</v>
      </c>
    </row>
    <row r="27" spans="1:12" s="10" customFormat="1" ht="16.5" customHeight="1" outlineLevel="2">
      <c r="A27" s="8">
        <v>30</v>
      </c>
      <c r="B27" s="3">
        <v>45972</v>
      </c>
      <c r="C27" s="4" t="s">
        <v>53</v>
      </c>
      <c r="D27" s="4" t="s">
        <v>54</v>
      </c>
      <c r="E27" s="4" t="s">
        <v>55</v>
      </c>
      <c r="F27" s="8" t="s">
        <v>25</v>
      </c>
      <c r="G27" s="5">
        <v>5.83</v>
      </c>
      <c r="H27" s="5">
        <v>1000</v>
      </c>
      <c r="I27" s="5">
        <f>G27*H27</f>
        <v>5830</v>
      </c>
      <c r="J27" s="5">
        <v>0</v>
      </c>
      <c r="K27" s="11">
        <v>0</v>
      </c>
      <c r="L27" s="11">
        <f>ROUND(I27+J27,-1)</f>
        <v>5830</v>
      </c>
    </row>
    <row r="28" spans="1:12" s="10" customFormat="1" ht="16.5" customHeight="1" outlineLevel="1">
      <c r="A28" s="20"/>
      <c r="B28" s="25"/>
      <c r="C28" s="26"/>
      <c r="D28" s="26"/>
      <c r="E28" s="26"/>
      <c r="F28" s="29" t="s">
        <v>68</v>
      </c>
      <c r="G28" s="27">
        <f>SUBTOTAL(9,G25:G27)</f>
        <v>16.78</v>
      </c>
      <c r="H28" s="27"/>
      <c r="I28" s="27"/>
      <c r="J28" s="27"/>
      <c r="K28" s="28"/>
      <c r="L28" s="28">
        <f>SUBTOTAL(9,L26:L27)</f>
        <v>11490</v>
      </c>
    </row>
    <row r="29" spans="1:12" outlineLevel="1"/>
    <row r="30" spans="1:12" outlineLevel="1"/>
    <row r="31" spans="1:12" outlineLevel="1"/>
    <row r="32" spans="1:12" outlineLevel="1"/>
    <row r="33" spans="1:12" s="10" customFormat="1" ht="18" customHeight="1">
      <c r="A33" s="18">
        <v>1</v>
      </c>
      <c r="B33" s="24">
        <v>45941</v>
      </c>
      <c r="C33" s="18" t="s">
        <v>28</v>
      </c>
      <c r="D33" s="18" t="s">
        <v>29</v>
      </c>
      <c r="E33" s="18" t="s">
        <v>30</v>
      </c>
      <c r="F33" s="18" t="s">
        <v>15</v>
      </c>
      <c r="G33" s="18">
        <v>6.1</v>
      </c>
      <c r="H33" s="18">
        <v>1000</v>
      </c>
      <c r="I33" s="18">
        <v>6100</v>
      </c>
      <c r="J33" s="18">
        <v>400</v>
      </c>
      <c r="K33" s="8">
        <v>0</v>
      </c>
      <c r="L33" s="18">
        <v>6500</v>
      </c>
    </row>
    <row r="34" spans="1:12" s="10" customFormat="1" outlineLevel="2">
      <c r="A34" s="18">
        <v>2</v>
      </c>
      <c r="B34" s="24">
        <v>45941</v>
      </c>
      <c r="C34" s="18" t="s">
        <v>28</v>
      </c>
      <c r="D34" s="18" t="s">
        <v>29</v>
      </c>
      <c r="E34" s="18" t="s">
        <v>31</v>
      </c>
      <c r="F34" s="18" t="s">
        <v>15</v>
      </c>
      <c r="G34" s="18">
        <v>6.13</v>
      </c>
      <c r="H34" s="18">
        <v>1000</v>
      </c>
      <c r="I34" s="18">
        <v>6130</v>
      </c>
      <c r="J34" s="18">
        <v>0</v>
      </c>
      <c r="K34" s="8">
        <v>0</v>
      </c>
      <c r="L34" s="18">
        <v>6130</v>
      </c>
    </row>
    <row r="35" spans="1:12" s="10" customFormat="1" outlineLevel="2">
      <c r="A35" s="18">
        <v>3</v>
      </c>
      <c r="B35" s="24">
        <v>45941</v>
      </c>
      <c r="C35" s="18" t="s">
        <v>28</v>
      </c>
      <c r="D35" s="18" t="s">
        <v>29</v>
      </c>
      <c r="E35" s="18" t="s">
        <v>32</v>
      </c>
      <c r="F35" s="18" t="s">
        <v>15</v>
      </c>
      <c r="G35" s="18">
        <v>6.04</v>
      </c>
      <c r="H35" s="18">
        <v>1000</v>
      </c>
      <c r="I35" s="18">
        <v>6040</v>
      </c>
      <c r="J35" s="18">
        <v>0</v>
      </c>
      <c r="K35" s="8">
        <v>0</v>
      </c>
      <c r="L35" s="18">
        <v>6040</v>
      </c>
    </row>
    <row r="36" spans="1:12" s="10" customFormat="1" outlineLevel="2">
      <c r="A36" s="18">
        <v>4</v>
      </c>
      <c r="B36" s="24">
        <v>45941</v>
      </c>
      <c r="C36" s="18" t="s">
        <v>28</v>
      </c>
      <c r="D36" s="18" t="s">
        <v>29</v>
      </c>
      <c r="E36" s="18" t="s">
        <v>33</v>
      </c>
      <c r="F36" s="18" t="s">
        <v>15</v>
      </c>
      <c r="G36" s="18">
        <v>6.22</v>
      </c>
      <c r="H36" s="18">
        <v>1000</v>
      </c>
      <c r="I36" s="18">
        <v>6220</v>
      </c>
      <c r="J36" s="18">
        <v>0</v>
      </c>
      <c r="K36" s="8">
        <v>0</v>
      </c>
      <c r="L36" s="18">
        <v>6220</v>
      </c>
    </row>
    <row r="37" spans="1:12" s="10" customFormat="1" outlineLevel="2">
      <c r="A37" s="18">
        <v>5</v>
      </c>
      <c r="B37" s="24">
        <v>45941</v>
      </c>
      <c r="C37" s="18" t="s">
        <v>28</v>
      </c>
      <c r="D37" s="18" t="s">
        <v>29</v>
      </c>
      <c r="E37" s="18" t="s">
        <v>34</v>
      </c>
      <c r="F37" s="18" t="s">
        <v>15</v>
      </c>
      <c r="G37" s="18">
        <v>5.61</v>
      </c>
      <c r="H37" s="18">
        <v>1000</v>
      </c>
      <c r="I37" s="18">
        <v>5610</v>
      </c>
      <c r="J37" s="18">
        <v>0</v>
      </c>
      <c r="K37" s="8">
        <v>0</v>
      </c>
      <c r="L37" s="18">
        <v>5610</v>
      </c>
    </row>
    <row r="38" spans="1:12" s="10" customFormat="1" outlineLevel="2">
      <c r="A38" s="18">
        <v>6</v>
      </c>
      <c r="B38" s="24">
        <v>45941</v>
      </c>
      <c r="C38" s="18" t="s">
        <v>35</v>
      </c>
      <c r="D38" s="18" t="s">
        <v>36</v>
      </c>
      <c r="E38" s="18" t="s">
        <v>37</v>
      </c>
      <c r="F38" s="18" t="s">
        <v>15</v>
      </c>
      <c r="G38" s="18">
        <v>5.81</v>
      </c>
      <c r="H38" s="18">
        <v>1000</v>
      </c>
      <c r="I38" s="18">
        <v>5810</v>
      </c>
      <c r="J38" s="18">
        <v>600</v>
      </c>
      <c r="K38" s="8">
        <v>0</v>
      </c>
      <c r="L38" s="18">
        <v>6410</v>
      </c>
    </row>
    <row r="39" spans="1:12" s="10" customFormat="1" outlineLevel="2">
      <c r="A39" s="18">
        <v>7</v>
      </c>
      <c r="B39" s="24">
        <v>45941</v>
      </c>
      <c r="C39" s="18" t="s">
        <v>35</v>
      </c>
      <c r="D39" s="18" t="s">
        <v>36</v>
      </c>
      <c r="E39" s="18" t="s">
        <v>38</v>
      </c>
      <c r="F39" s="18" t="s">
        <v>15</v>
      </c>
      <c r="G39" s="18">
        <v>5.5</v>
      </c>
      <c r="H39" s="18">
        <v>1000</v>
      </c>
      <c r="I39" s="18">
        <v>5500</v>
      </c>
      <c r="J39" s="18">
        <v>0</v>
      </c>
      <c r="K39" s="8">
        <v>0</v>
      </c>
      <c r="L39" s="18">
        <v>5500</v>
      </c>
    </row>
    <row r="40" spans="1:12" s="10" customFormat="1" outlineLevel="2">
      <c r="A40" s="18">
        <v>8</v>
      </c>
      <c r="B40" s="24">
        <v>45941</v>
      </c>
      <c r="C40" s="18" t="s">
        <v>35</v>
      </c>
      <c r="D40" s="18" t="s">
        <v>36</v>
      </c>
      <c r="E40" s="18" t="s">
        <v>39</v>
      </c>
      <c r="F40" s="18" t="s">
        <v>15</v>
      </c>
      <c r="G40" s="18">
        <v>6.16</v>
      </c>
      <c r="H40" s="18">
        <v>1000</v>
      </c>
      <c r="I40" s="18">
        <v>6160</v>
      </c>
      <c r="J40" s="18">
        <v>600</v>
      </c>
      <c r="K40" s="8">
        <v>0</v>
      </c>
      <c r="L40" s="18">
        <v>6760</v>
      </c>
    </row>
    <row r="41" spans="1:12" s="10" customFormat="1" outlineLevel="2">
      <c r="A41" s="18">
        <v>9</v>
      </c>
      <c r="B41" s="24">
        <v>45941</v>
      </c>
      <c r="C41" s="18" t="s">
        <v>40</v>
      </c>
      <c r="D41" s="18" t="s">
        <v>41</v>
      </c>
      <c r="E41" s="18" t="s">
        <v>42</v>
      </c>
      <c r="F41" s="18" t="s">
        <v>15</v>
      </c>
      <c r="G41" s="18">
        <v>4.59</v>
      </c>
      <c r="H41" s="18">
        <v>1000</v>
      </c>
      <c r="I41" s="18">
        <v>4590</v>
      </c>
      <c r="J41" s="18">
        <v>400</v>
      </c>
      <c r="K41" s="8">
        <v>0</v>
      </c>
      <c r="L41" s="18">
        <v>4990</v>
      </c>
    </row>
    <row r="42" spans="1:12" s="10" customFormat="1" outlineLevel="2">
      <c r="A42" s="18">
        <v>10</v>
      </c>
      <c r="B42" s="24">
        <v>45941</v>
      </c>
      <c r="C42" s="18" t="s">
        <v>40</v>
      </c>
      <c r="D42" s="18" t="s">
        <v>41</v>
      </c>
      <c r="E42" s="18" t="s">
        <v>43</v>
      </c>
      <c r="F42" s="18" t="s">
        <v>15</v>
      </c>
      <c r="G42" s="18">
        <v>4.0199999999999996</v>
      </c>
      <c r="H42" s="18">
        <v>1000</v>
      </c>
      <c r="I42" s="18">
        <v>4019.9999999999995</v>
      </c>
      <c r="J42" s="18">
        <v>0</v>
      </c>
      <c r="K42" s="8">
        <v>0</v>
      </c>
      <c r="L42" s="18">
        <v>4020</v>
      </c>
    </row>
    <row r="43" spans="1:12" s="10" customFormat="1" outlineLevel="2">
      <c r="A43" s="18">
        <v>11</v>
      </c>
      <c r="B43" s="24">
        <v>45941</v>
      </c>
      <c r="C43" s="18" t="s">
        <v>44</v>
      </c>
      <c r="D43" s="18" t="s">
        <v>45</v>
      </c>
      <c r="E43" s="18" t="s">
        <v>46</v>
      </c>
      <c r="F43" s="18" t="s">
        <v>15</v>
      </c>
      <c r="G43" s="18">
        <v>6.99</v>
      </c>
      <c r="H43" s="18">
        <v>1000</v>
      </c>
      <c r="I43" s="18">
        <v>6990</v>
      </c>
      <c r="J43" s="18">
        <v>0</v>
      </c>
      <c r="K43" s="8">
        <v>0</v>
      </c>
      <c r="L43" s="18">
        <v>6990</v>
      </c>
    </row>
    <row r="44" spans="1:12" s="10" customFormat="1" outlineLevel="2">
      <c r="A44" s="18">
        <v>12</v>
      </c>
      <c r="B44" s="7">
        <v>45941</v>
      </c>
      <c r="C44" s="8" t="s">
        <v>12</v>
      </c>
      <c r="D44" s="8" t="s">
        <v>13</v>
      </c>
      <c r="E44" s="8" t="s">
        <v>14</v>
      </c>
      <c r="F44" s="18" t="s">
        <v>15</v>
      </c>
      <c r="G44" s="8">
        <v>5.8</v>
      </c>
      <c r="H44" s="8">
        <v>1000</v>
      </c>
      <c r="I44" s="8">
        <v>5800</v>
      </c>
      <c r="J44" s="8">
        <v>600</v>
      </c>
      <c r="K44" s="8">
        <v>0</v>
      </c>
      <c r="L44" s="8">
        <v>6400</v>
      </c>
    </row>
    <row r="45" spans="1:12" s="10" customFormat="1" outlineLevel="2">
      <c r="A45" s="18">
        <v>13</v>
      </c>
      <c r="B45" s="7">
        <v>45941</v>
      </c>
      <c r="C45" s="8" t="s">
        <v>16</v>
      </c>
      <c r="D45" s="8" t="s">
        <v>17</v>
      </c>
      <c r="E45" s="8" t="s">
        <v>18</v>
      </c>
      <c r="F45" s="18" t="s">
        <v>15</v>
      </c>
      <c r="G45" s="8">
        <v>4.05</v>
      </c>
      <c r="H45" s="8">
        <v>1000</v>
      </c>
      <c r="I45" s="8">
        <v>4050</v>
      </c>
      <c r="J45" s="8">
        <v>400</v>
      </c>
      <c r="K45" s="8">
        <v>0</v>
      </c>
      <c r="L45" s="8">
        <v>4450</v>
      </c>
    </row>
    <row r="46" spans="1:12" s="10" customFormat="1" outlineLevel="2">
      <c r="A46" s="18">
        <v>14</v>
      </c>
      <c r="B46" s="7">
        <v>45941</v>
      </c>
      <c r="C46" s="8" t="s">
        <v>16</v>
      </c>
      <c r="D46" s="8" t="s">
        <v>17</v>
      </c>
      <c r="E46" s="8" t="s">
        <v>18</v>
      </c>
      <c r="F46" s="18" t="s">
        <v>15</v>
      </c>
      <c r="G46" s="8">
        <v>3.93</v>
      </c>
      <c r="H46" s="8">
        <v>1000</v>
      </c>
      <c r="I46" s="8">
        <v>3930</v>
      </c>
      <c r="J46" s="8">
        <v>0</v>
      </c>
      <c r="K46" s="8">
        <v>0</v>
      </c>
      <c r="L46" s="8">
        <v>3930</v>
      </c>
    </row>
    <row r="47" spans="1:12" s="10" customFormat="1" outlineLevel="2">
      <c r="A47" s="18">
        <v>15</v>
      </c>
      <c r="B47" s="7">
        <v>45941</v>
      </c>
      <c r="C47" s="8" t="s">
        <v>16</v>
      </c>
      <c r="D47" s="8" t="s">
        <v>17</v>
      </c>
      <c r="E47" s="8" t="s">
        <v>18</v>
      </c>
      <c r="F47" s="18" t="s">
        <v>15</v>
      </c>
      <c r="G47" s="8">
        <v>4.1900000000000004</v>
      </c>
      <c r="H47" s="8">
        <v>1000</v>
      </c>
      <c r="I47" s="8">
        <v>4190</v>
      </c>
      <c r="J47" s="8">
        <v>0</v>
      </c>
      <c r="K47" s="8">
        <v>0</v>
      </c>
      <c r="L47" s="8">
        <v>4190</v>
      </c>
    </row>
    <row r="48" spans="1:12" s="10" customFormat="1" outlineLevel="2">
      <c r="A48" s="18">
        <v>16</v>
      </c>
      <c r="B48" s="7">
        <v>45941</v>
      </c>
      <c r="C48" s="8" t="s">
        <v>16</v>
      </c>
      <c r="D48" s="8" t="s">
        <v>17</v>
      </c>
      <c r="E48" s="8" t="s">
        <v>18</v>
      </c>
      <c r="F48" s="18" t="s">
        <v>15</v>
      </c>
      <c r="G48" s="8">
        <v>4.43</v>
      </c>
      <c r="H48" s="8">
        <v>1000</v>
      </c>
      <c r="I48" s="8">
        <v>4430</v>
      </c>
      <c r="J48" s="8">
        <v>0</v>
      </c>
      <c r="K48" s="8">
        <v>0</v>
      </c>
      <c r="L48" s="8">
        <v>4430</v>
      </c>
    </row>
    <row r="49" spans="1:13" s="10" customFormat="1" outlineLevel="2">
      <c r="A49" s="18">
        <v>17</v>
      </c>
      <c r="B49" s="7">
        <v>45972</v>
      </c>
      <c r="C49" s="8" t="s">
        <v>40</v>
      </c>
      <c r="D49" s="8" t="s">
        <v>41</v>
      </c>
      <c r="E49" s="8" t="s">
        <v>51</v>
      </c>
      <c r="F49" s="8" t="s">
        <v>15</v>
      </c>
      <c r="G49" s="8">
        <v>7.51</v>
      </c>
      <c r="H49" s="8">
        <v>1000</v>
      </c>
      <c r="I49" s="8">
        <v>7510</v>
      </c>
      <c r="J49" s="8">
        <v>0</v>
      </c>
      <c r="K49" s="8">
        <v>0</v>
      </c>
      <c r="L49" s="8">
        <v>7510</v>
      </c>
    </row>
    <row r="50" spans="1:13" s="10" customFormat="1" outlineLevel="2">
      <c r="A50" s="18">
        <v>18</v>
      </c>
      <c r="B50" s="7">
        <v>45972</v>
      </c>
      <c r="C50" s="8" t="s">
        <v>40</v>
      </c>
      <c r="D50" s="8" t="s">
        <v>41</v>
      </c>
      <c r="E50" s="8" t="s">
        <v>52</v>
      </c>
      <c r="F50" s="8" t="s">
        <v>15</v>
      </c>
      <c r="G50" s="8">
        <v>3.98</v>
      </c>
      <c r="H50" s="8">
        <v>1000</v>
      </c>
      <c r="I50" s="8">
        <v>3980</v>
      </c>
      <c r="J50" s="8">
        <v>0</v>
      </c>
      <c r="K50" s="8">
        <v>0</v>
      </c>
      <c r="L50" s="8">
        <v>3980</v>
      </c>
    </row>
    <row r="51" spans="1:13" s="10" customFormat="1" outlineLevel="2">
      <c r="A51" s="18">
        <v>19</v>
      </c>
      <c r="B51" s="7">
        <v>45972</v>
      </c>
      <c r="C51" s="12" t="s">
        <v>35</v>
      </c>
      <c r="D51" s="12" t="s">
        <v>56</v>
      </c>
      <c r="E51" s="12" t="s">
        <v>57</v>
      </c>
      <c r="F51" s="12" t="s">
        <v>15</v>
      </c>
      <c r="G51" s="8">
        <v>4.28</v>
      </c>
      <c r="H51" s="8">
        <v>1000</v>
      </c>
      <c r="I51" s="8">
        <v>4280</v>
      </c>
      <c r="J51" s="8">
        <v>0</v>
      </c>
      <c r="K51" s="8">
        <v>0</v>
      </c>
      <c r="L51" s="8">
        <v>4280</v>
      </c>
    </row>
    <row r="52" spans="1:13" s="10" customFormat="1" outlineLevel="2">
      <c r="A52" s="18">
        <v>20</v>
      </c>
      <c r="B52" s="7">
        <v>45972</v>
      </c>
      <c r="C52" s="12" t="s">
        <v>35</v>
      </c>
      <c r="D52" s="12" t="s">
        <v>56</v>
      </c>
      <c r="E52" s="12" t="s">
        <v>57</v>
      </c>
      <c r="F52" s="12" t="s">
        <v>15</v>
      </c>
      <c r="G52" s="8">
        <v>4.3899999999999997</v>
      </c>
      <c r="H52" s="8">
        <v>1000</v>
      </c>
      <c r="I52" s="8">
        <v>4390</v>
      </c>
      <c r="J52" s="8">
        <v>0</v>
      </c>
      <c r="K52" s="8">
        <v>0</v>
      </c>
      <c r="L52" s="8">
        <v>4390</v>
      </c>
    </row>
    <row r="53" spans="1:13" s="10" customFormat="1" outlineLevel="2">
      <c r="A53" s="18">
        <v>21</v>
      </c>
      <c r="B53" s="7">
        <v>45973</v>
      </c>
      <c r="C53" s="12" t="s">
        <v>40</v>
      </c>
      <c r="D53" s="8" t="s">
        <v>41</v>
      </c>
      <c r="E53" s="8" t="s">
        <v>42</v>
      </c>
      <c r="F53" s="12" t="s">
        <v>15</v>
      </c>
      <c r="G53" s="8">
        <v>4.4000000000000004</v>
      </c>
      <c r="H53" s="8">
        <v>1000</v>
      </c>
      <c r="I53" s="8">
        <v>4400</v>
      </c>
      <c r="J53" s="8">
        <v>400</v>
      </c>
      <c r="K53" s="8">
        <v>0</v>
      </c>
      <c r="L53" s="8">
        <v>4800</v>
      </c>
    </row>
    <row r="54" spans="1:13" s="10" customFormat="1" outlineLevel="2">
      <c r="A54" s="18">
        <v>22</v>
      </c>
      <c r="B54" s="7">
        <v>45973</v>
      </c>
      <c r="C54" s="12" t="s">
        <v>40</v>
      </c>
      <c r="D54" s="8" t="s">
        <v>41</v>
      </c>
      <c r="E54" s="8" t="s">
        <v>42</v>
      </c>
      <c r="F54" s="12" t="s">
        <v>15</v>
      </c>
      <c r="G54" s="8">
        <v>4.3499999999999996</v>
      </c>
      <c r="H54" s="8">
        <v>1000</v>
      </c>
      <c r="I54" s="8">
        <v>4350</v>
      </c>
      <c r="J54" s="8">
        <v>0</v>
      </c>
      <c r="K54" s="8">
        <v>0</v>
      </c>
      <c r="L54" s="8">
        <v>4350</v>
      </c>
    </row>
    <row r="55" spans="1:13" s="10" customFormat="1" outlineLevel="2">
      <c r="A55" s="18">
        <v>23</v>
      </c>
      <c r="B55" s="7">
        <v>45973</v>
      </c>
      <c r="C55" s="12" t="s">
        <v>40</v>
      </c>
      <c r="D55" s="8" t="s">
        <v>41</v>
      </c>
      <c r="E55" s="8" t="s">
        <v>42</v>
      </c>
      <c r="F55" s="12" t="s">
        <v>15</v>
      </c>
      <c r="G55" s="8">
        <v>4.17</v>
      </c>
      <c r="H55" s="8">
        <v>1000</v>
      </c>
      <c r="I55" s="8">
        <v>4170</v>
      </c>
      <c r="J55" s="8">
        <v>400</v>
      </c>
      <c r="K55" s="8">
        <v>0</v>
      </c>
      <c r="L55" s="8">
        <v>4570</v>
      </c>
    </row>
    <row r="56" spans="1:13" s="10" customFormat="1" outlineLevel="2">
      <c r="A56" s="18">
        <v>24</v>
      </c>
      <c r="B56" s="7">
        <v>45973</v>
      </c>
      <c r="C56" s="12" t="s">
        <v>40</v>
      </c>
      <c r="D56" s="8" t="s">
        <v>41</v>
      </c>
      <c r="E56" s="8" t="s">
        <v>42</v>
      </c>
      <c r="F56" s="12" t="s">
        <v>15</v>
      </c>
      <c r="G56" s="8">
        <v>4.59</v>
      </c>
      <c r="H56" s="8">
        <v>1000</v>
      </c>
      <c r="I56" s="8">
        <v>4590</v>
      </c>
      <c r="J56" s="8">
        <v>0</v>
      </c>
      <c r="K56" s="8">
        <v>0</v>
      </c>
      <c r="L56" s="8">
        <v>4590</v>
      </c>
    </row>
    <row r="57" spans="1:13" s="10" customFormat="1" outlineLevel="2">
      <c r="A57" s="18">
        <v>25</v>
      </c>
      <c r="B57" s="7">
        <v>45973</v>
      </c>
      <c r="C57" s="8" t="s">
        <v>16</v>
      </c>
      <c r="D57" s="8" t="s">
        <v>17</v>
      </c>
      <c r="E57" s="8" t="s">
        <v>18</v>
      </c>
      <c r="F57" s="12" t="s">
        <v>15</v>
      </c>
      <c r="G57" s="8">
        <v>4.43</v>
      </c>
      <c r="H57" s="8">
        <v>1000</v>
      </c>
      <c r="I57" s="8">
        <v>4430</v>
      </c>
      <c r="J57" s="8">
        <v>300</v>
      </c>
      <c r="K57" s="8">
        <v>0</v>
      </c>
      <c r="L57" s="8">
        <v>4730</v>
      </c>
      <c r="M57" s="10" t="s">
        <v>71</v>
      </c>
    </row>
    <row r="58" spans="1:13" s="10" customFormat="1" outlineLevel="2">
      <c r="A58" s="18">
        <v>26</v>
      </c>
      <c r="B58" s="7" t="s">
        <v>23</v>
      </c>
      <c r="C58" s="8" t="s">
        <v>26</v>
      </c>
      <c r="D58" s="8" t="s">
        <v>20</v>
      </c>
      <c r="E58" s="8" t="s">
        <v>27</v>
      </c>
      <c r="F58" s="12" t="s">
        <v>15</v>
      </c>
      <c r="G58" s="8">
        <v>10.61</v>
      </c>
      <c r="H58" s="8">
        <v>1000</v>
      </c>
      <c r="I58" s="8">
        <v>10610</v>
      </c>
      <c r="J58" s="8">
        <v>400</v>
      </c>
      <c r="K58" s="8">
        <v>0</v>
      </c>
      <c r="L58" s="8">
        <v>11010</v>
      </c>
    </row>
    <row r="59" spans="1:13" s="10" customFormat="1" outlineLevel="1">
      <c r="A59" s="30"/>
      <c r="B59" s="21"/>
      <c r="C59" s="20"/>
      <c r="D59" s="20"/>
      <c r="E59" s="20"/>
      <c r="F59" s="31" t="s">
        <v>66</v>
      </c>
      <c r="G59" s="20">
        <f>SUBTOTAL(9,G33:G58)</f>
        <v>138.28000000000003</v>
      </c>
      <c r="H59" s="20"/>
      <c r="I59" s="20"/>
      <c r="J59" s="20"/>
      <c r="K59" s="20"/>
      <c r="L59" s="20"/>
    </row>
    <row r="60" spans="1:13" s="10" customFormat="1">
      <c r="A60" s="30"/>
      <c r="B60" s="21"/>
      <c r="C60" s="20"/>
      <c r="D60" s="20"/>
      <c r="E60" s="20"/>
      <c r="F60" s="31" t="s">
        <v>70</v>
      </c>
      <c r="G60" s="20">
        <f>SUBTOTAL(9,G33:G58)</f>
        <v>138.28000000000003</v>
      </c>
      <c r="H60" s="20"/>
      <c r="I60" s="20"/>
      <c r="J60" s="20"/>
      <c r="K60" s="20"/>
      <c r="L60" s="20"/>
    </row>
    <row r="65" spans="7:7">
      <c r="G65">
        <f>G60+G28+G21</f>
        <v>273.39000000000004</v>
      </c>
    </row>
  </sheetData>
  <sortState ref="A2:L46">
    <sortCondition ref="F2:F46"/>
  </sortState>
  <pageMargins left="0.7" right="0.7" top="0.75" bottom="0.75" header="0.3" footer="0.3"/>
  <pageSetup scale="62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2025-11-15T05:00:22Z</cp:lastPrinted>
  <dcterms:created xsi:type="dcterms:W3CDTF">2025-11-15T04:47:13Z</dcterms:created>
  <dcterms:modified xsi:type="dcterms:W3CDTF">2025-11-15T05:29:38Z</dcterms:modified>
</cp:coreProperties>
</file>