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L99" i="1"/>
  <c r="I100"/>
  <c r="L100" s="1"/>
  <c r="I99"/>
  <c r="I98"/>
  <c r="L98" s="1"/>
  <c r="L87"/>
  <c r="L88"/>
  <c r="L89"/>
  <c r="L90"/>
  <c r="L91"/>
  <c r="L86"/>
  <c r="I87"/>
  <c r="I88"/>
  <c r="I89"/>
  <c r="I90"/>
  <c r="I91"/>
  <c r="I86"/>
  <c r="I77"/>
  <c r="L77" s="1"/>
  <c r="L78"/>
  <c r="I78"/>
  <c r="I62"/>
  <c r="K62" s="1"/>
  <c r="K61"/>
  <c r="I61"/>
  <c r="I69"/>
  <c r="K69" s="1"/>
  <c r="K70" s="1"/>
  <c r="I60"/>
  <c r="K60" s="1"/>
  <c r="I59"/>
  <c r="K59" s="1"/>
  <c r="I51"/>
  <c r="K51" s="1"/>
  <c r="K54" s="1"/>
  <c r="I42"/>
  <c r="K42" s="1"/>
  <c r="I43"/>
  <c r="K43" s="1"/>
  <c r="I38"/>
  <c r="K38" s="1"/>
  <c r="I39"/>
  <c r="K39" s="1"/>
  <c r="I40"/>
  <c r="K40" s="1"/>
  <c r="I41"/>
  <c r="K41" s="1"/>
  <c r="I37"/>
  <c r="K37" s="1"/>
  <c r="I26"/>
  <c r="K26" s="1"/>
  <c r="I27"/>
  <c r="K27" s="1"/>
  <c r="I28"/>
  <c r="K28" s="1"/>
  <c r="I29"/>
  <c r="K29" s="1"/>
  <c r="I25"/>
  <c r="K25" s="1"/>
  <c r="L92" l="1"/>
  <c r="L79"/>
  <c r="K63"/>
  <c r="K30"/>
  <c r="K44"/>
  <c r="I18"/>
  <c r="K18" s="1"/>
  <c r="I17"/>
  <c r="K17" s="1"/>
  <c r="I16"/>
  <c r="K16" s="1"/>
  <c r="I15"/>
  <c r="K15" s="1"/>
  <c r="I14"/>
  <c r="K14" s="1"/>
  <c r="I10"/>
  <c r="K10" s="1"/>
  <c r="I9"/>
  <c r="K9" s="1"/>
  <c r="I11"/>
  <c r="K11" s="1"/>
  <c r="I12"/>
  <c r="K12" s="1"/>
  <c r="I13"/>
  <c r="K13" s="1"/>
  <c r="I8"/>
  <c r="K8" s="1"/>
  <c r="I4"/>
  <c r="K4" s="1"/>
  <c r="I5"/>
  <c r="K5" s="1"/>
  <c r="I6"/>
  <c r="K6" s="1"/>
  <c r="I7"/>
  <c r="K7" s="1"/>
  <c r="I3"/>
  <c r="K3" s="1"/>
  <c r="K19" l="1"/>
</calcChain>
</file>

<file path=xl/sharedStrings.xml><?xml version="1.0" encoding="utf-8"?>
<sst xmlns="http://schemas.openxmlformats.org/spreadsheetml/2006/main" count="311" uniqueCount="71">
  <si>
    <t>CUSTOMER NAME</t>
  </si>
  <si>
    <t>PLACE</t>
  </si>
  <si>
    <t>VEHICLE NO</t>
  </si>
  <si>
    <t>QTY</t>
  </si>
  <si>
    <t>PASS</t>
  </si>
  <si>
    <t>AMOUNT</t>
  </si>
  <si>
    <t>ESANTHIMANGALAM</t>
  </si>
  <si>
    <t>TN74BD1192</t>
  </si>
  <si>
    <t>sno</t>
  </si>
  <si>
    <t>LEON</t>
  </si>
  <si>
    <t>CHRISTUNAGAR</t>
  </si>
  <si>
    <t>TN22CS3989</t>
  </si>
  <si>
    <t>MATERIAL</t>
  </si>
  <si>
    <t>RATE</t>
  </si>
  <si>
    <t>NET AMOUNT</t>
  </si>
  <si>
    <t>ROUGH STONE</t>
  </si>
  <si>
    <t>TN22CS3990</t>
  </si>
  <si>
    <t>TN22CS3991</t>
  </si>
  <si>
    <t>TN22CS3992</t>
  </si>
  <si>
    <t>TN22CS3993</t>
  </si>
  <si>
    <t>DATE</t>
  </si>
  <si>
    <t>SHEK</t>
  </si>
  <si>
    <t>THADIKARAKONAM</t>
  </si>
  <si>
    <t>TN74AF7096</t>
  </si>
  <si>
    <t>TN74AF7097</t>
  </si>
  <si>
    <t>VIJAY</t>
  </si>
  <si>
    <t>THOOPUR</t>
  </si>
  <si>
    <t>TN74BC7751</t>
  </si>
  <si>
    <t>TN74BC7752</t>
  </si>
  <si>
    <t>TN75AK2350</t>
  </si>
  <si>
    <t>ALVIN PRAVEEN</t>
  </si>
  <si>
    <t>6MM</t>
  </si>
  <si>
    <t>PAREETH</t>
  </si>
  <si>
    <t>SURULODU</t>
  </si>
  <si>
    <t>TN74AA0427</t>
  </si>
  <si>
    <t>WASTE</t>
  </si>
  <si>
    <t>TN74AU9677</t>
  </si>
  <si>
    <t>CASH</t>
  </si>
  <si>
    <t>GANESH</t>
  </si>
  <si>
    <t>SEETHAPAL</t>
  </si>
  <si>
    <t>TN32CS3690</t>
  </si>
  <si>
    <t>TN74P6459</t>
  </si>
  <si>
    <t>SMD</t>
  </si>
  <si>
    <t>KAMARAJ NAGAR</t>
  </si>
  <si>
    <t>TN74BH3271</t>
  </si>
  <si>
    <t>BRUCE</t>
  </si>
  <si>
    <t>CULACHEL</t>
  </si>
  <si>
    <t>TN74Q7473</t>
  </si>
  <si>
    <t>TN74BE7751</t>
  </si>
  <si>
    <t>THITTUVILAI</t>
  </si>
  <si>
    <t>TN65Y3718</t>
  </si>
  <si>
    <t>RAMESH</t>
  </si>
  <si>
    <t>POOTHAPANDI</t>
  </si>
  <si>
    <t>TN75AU7530</t>
  </si>
  <si>
    <t>CREDIT</t>
  </si>
  <si>
    <t>TOTAL</t>
  </si>
  <si>
    <t>SNO</t>
  </si>
  <si>
    <t xml:space="preserve">ROUGHSTONE </t>
  </si>
  <si>
    <t>AMAR</t>
  </si>
  <si>
    <t>13/11/25</t>
  </si>
  <si>
    <t>PAUL</t>
  </si>
  <si>
    <t>TN74BH0625</t>
  </si>
  <si>
    <t>TN74AW9868</t>
  </si>
  <si>
    <t>BATA</t>
  </si>
  <si>
    <t>ARUL</t>
  </si>
  <si>
    <t>NAGERCOIL</t>
  </si>
  <si>
    <t>TN74BC3735</t>
  </si>
  <si>
    <t>TN74BE3132</t>
  </si>
  <si>
    <t>WET MIX</t>
  </si>
  <si>
    <t>14/11/2025</t>
  </si>
  <si>
    <t>15/11/25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</si>
</sst>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14" fontId="0" fillId="0" borderId="0" xfId="0" applyNumberFormat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Border="1"/>
    <xf numFmtId="14" fontId="0" fillId="0" borderId="1" xfId="0" applyNumberFormat="1" applyBorder="1"/>
    <xf numFmtId="0" fontId="0" fillId="0" borderId="1" xfId="0" applyFill="1" applyBorder="1"/>
    <xf numFmtId="0" fontId="0" fillId="0" borderId="0" xfId="0" applyFill="1" applyBorder="1"/>
    <xf numFmtId="14" fontId="0" fillId="0" borderId="0" xfId="0" applyNumberFormat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5" xfId="0" applyBorder="1"/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/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4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9"/>
  <sheetViews>
    <sheetView tabSelected="1" topLeftCell="A58" workbookViewId="0">
      <selection activeCell="F65" sqref="F65"/>
    </sheetView>
  </sheetViews>
  <sheetFormatPr defaultRowHeight="15"/>
  <cols>
    <col min="1" max="1" width="6.5703125" bestFit="1" customWidth="1"/>
    <col min="2" max="2" width="10.7109375" bestFit="1" customWidth="1"/>
    <col min="3" max="3" width="17" bestFit="1" customWidth="1"/>
    <col min="4" max="4" width="18.140625" customWidth="1"/>
    <col min="5" max="5" width="12.85546875" customWidth="1"/>
    <col min="6" max="6" width="14.85546875" customWidth="1"/>
    <col min="7" max="7" width="7.5703125" customWidth="1"/>
  </cols>
  <sheetData>
    <row r="1" spans="1:11">
      <c r="E1" t="s">
        <v>54</v>
      </c>
    </row>
    <row r="2" spans="1:11" ht="30">
      <c r="A2" s="2" t="s">
        <v>8</v>
      </c>
      <c r="B2" s="2" t="s">
        <v>20</v>
      </c>
      <c r="C2" s="1" t="s">
        <v>0</v>
      </c>
      <c r="D2" s="1" t="s">
        <v>1</v>
      </c>
      <c r="E2" s="1" t="s">
        <v>2</v>
      </c>
      <c r="F2" s="1" t="s">
        <v>12</v>
      </c>
      <c r="G2" s="1" t="s">
        <v>3</v>
      </c>
      <c r="H2" s="1" t="s">
        <v>13</v>
      </c>
      <c r="I2" s="1" t="s">
        <v>5</v>
      </c>
      <c r="J2" s="1" t="s">
        <v>4</v>
      </c>
      <c r="K2" s="1" t="s">
        <v>14</v>
      </c>
    </row>
    <row r="3" spans="1:11" ht="18" customHeight="1">
      <c r="A3" s="1">
        <v>1</v>
      </c>
      <c r="B3" s="3">
        <v>45941</v>
      </c>
      <c r="C3" s="1" t="s">
        <v>9</v>
      </c>
      <c r="D3" s="1" t="s">
        <v>10</v>
      </c>
      <c r="E3" s="1" t="s">
        <v>11</v>
      </c>
      <c r="F3" s="1" t="s">
        <v>15</v>
      </c>
      <c r="G3" s="1">
        <v>6.1</v>
      </c>
      <c r="H3" s="1">
        <v>1000</v>
      </c>
      <c r="I3" s="1">
        <f>G3*H3</f>
        <v>6100</v>
      </c>
      <c r="J3" s="1">
        <v>400</v>
      </c>
      <c r="K3" s="1">
        <f>ROUND(I3+J3,-1)</f>
        <v>6500</v>
      </c>
    </row>
    <row r="4" spans="1:11">
      <c r="A4" s="1">
        <v>2</v>
      </c>
      <c r="B4" s="3">
        <v>45941</v>
      </c>
      <c r="C4" s="1" t="s">
        <v>9</v>
      </c>
      <c r="D4" s="1" t="s">
        <v>10</v>
      </c>
      <c r="E4" s="1" t="s">
        <v>16</v>
      </c>
      <c r="F4" s="1" t="s">
        <v>15</v>
      </c>
      <c r="G4" s="1">
        <v>6.13</v>
      </c>
      <c r="H4" s="1">
        <v>1000</v>
      </c>
      <c r="I4" s="1">
        <f t="shared" ref="I4:I14" si="0">G4*H4</f>
        <v>6130</v>
      </c>
      <c r="J4" s="1">
        <v>0</v>
      </c>
      <c r="K4" s="1">
        <f t="shared" ref="K4:K18" si="1">ROUND(I4+J4,-1)</f>
        <v>6130</v>
      </c>
    </row>
    <row r="5" spans="1:11">
      <c r="A5" s="1">
        <v>3</v>
      </c>
      <c r="B5" s="3">
        <v>45941</v>
      </c>
      <c r="C5" s="1" t="s">
        <v>9</v>
      </c>
      <c r="D5" s="1" t="s">
        <v>10</v>
      </c>
      <c r="E5" s="1" t="s">
        <v>17</v>
      </c>
      <c r="F5" s="1" t="s">
        <v>15</v>
      </c>
      <c r="G5" s="1">
        <v>6.04</v>
      </c>
      <c r="H5" s="1">
        <v>1000</v>
      </c>
      <c r="I5" s="1">
        <f t="shared" si="0"/>
        <v>6040</v>
      </c>
      <c r="J5" s="1">
        <v>0</v>
      </c>
      <c r="K5" s="1">
        <f t="shared" si="1"/>
        <v>6040</v>
      </c>
    </row>
    <row r="6" spans="1:11">
      <c r="A6" s="1">
        <v>4</v>
      </c>
      <c r="B6" s="3">
        <v>45941</v>
      </c>
      <c r="C6" s="1" t="s">
        <v>9</v>
      </c>
      <c r="D6" s="1" t="s">
        <v>10</v>
      </c>
      <c r="E6" s="1" t="s">
        <v>18</v>
      </c>
      <c r="F6" s="1" t="s">
        <v>15</v>
      </c>
      <c r="G6" s="1">
        <v>6.22</v>
      </c>
      <c r="H6" s="1">
        <v>1000</v>
      </c>
      <c r="I6" s="1">
        <f t="shared" si="0"/>
        <v>6220</v>
      </c>
      <c r="J6" s="1">
        <v>0</v>
      </c>
      <c r="K6" s="1">
        <f t="shared" si="1"/>
        <v>6220</v>
      </c>
    </row>
    <row r="7" spans="1:11">
      <c r="A7" s="1">
        <v>5</v>
      </c>
      <c r="B7" s="3">
        <v>45941</v>
      </c>
      <c r="C7" s="1" t="s">
        <v>9</v>
      </c>
      <c r="D7" s="1" t="s">
        <v>10</v>
      </c>
      <c r="E7" s="1" t="s">
        <v>19</v>
      </c>
      <c r="F7" s="1" t="s">
        <v>15</v>
      </c>
      <c r="G7" s="1">
        <v>5.61</v>
      </c>
      <c r="H7" s="1">
        <v>1000</v>
      </c>
      <c r="I7" s="1">
        <f t="shared" si="0"/>
        <v>5610</v>
      </c>
      <c r="J7" s="1">
        <v>0</v>
      </c>
      <c r="K7" s="1">
        <f t="shared" si="1"/>
        <v>5610</v>
      </c>
    </row>
    <row r="8" spans="1:11" ht="30">
      <c r="A8" s="1">
        <v>6</v>
      </c>
      <c r="B8" s="3">
        <v>45941</v>
      </c>
      <c r="C8" s="1" t="s">
        <v>21</v>
      </c>
      <c r="D8" s="1" t="s">
        <v>22</v>
      </c>
      <c r="E8" s="1" t="s">
        <v>23</v>
      </c>
      <c r="F8" s="1" t="s">
        <v>15</v>
      </c>
      <c r="G8" s="1">
        <v>5.81</v>
      </c>
      <c r="H8" s="1">
        <v>1000</v>
      </c>
      <c r="I8" s="1">
        <f t="shared" si="0"/>
        <v>5810</v>
      </c>
      <c r="J8" s="1">
        <v>600</v>
      </c>
      <c r="K8" s="1">
        <f t="shared" si="1"/>
        <v>6410</v>
      </c>
    </row>
    <row r="9" spans="1:11" ht="30">
      <c r="A9" s="1">
        <v>7</v>
      </c>
      <c r="B9" s="3">
        <v>45941</v>
      </c>
      <c r="C9" s="1" t="s">
        <v>21</v>
      </c>
      <c r="D9" s="1" t="s">
        <v>22</v>
      </c>
      <c r="E9" s="1" t="s">
        <v>24</v>
      </c>
      <c r="F9" s="1" t="s">
        <v>15</v>
      </c>
      <c r="G9" s="1">
        <v>5.5</v>
      </c>
      <c r="H9" s="1">
        <v>1000</v>
      </c>
      <c r="I9" s="1">
        <f t="shared" si="0"/>
        <v>5500</v>
      </c>
      <c r="J9" s="1">
        <v>0</v>
      </c>
      <c r="K9" s="1">
        <f t="shared" si="1"/>
        <v>5500</v>
      </c>
    </row>
    <row r="10" spans="1:11" ht="30">
      <c r="A10" s="1">
        <v>8</v>
      </c>
      <c r="B10" s="3">
        <v>45941</v>
      </c>
      <c r="C10" s="1" t="s">
        <v>21</v>
      </c>
      <c r="D10" s="1" t="s">
        <v>22</v>
      </c>
      <c r="E10" s="1" t="s">
        <v>29</v>
      </c>
      <c r="F10" s="1" t="s">
        <v>15</v>
      </c>
      <c r="G10" s="1">
        <v>6.16</v>
      </c>
      <c r="H10" s="1">
        <v>1000</v>
      </c>
      <c r="I10" s="1">
        <f t="shared" si="0"/>
        <v>6160</v>
      </c>
      <c r="J10" s="1">
        <v>600</v>
      </c>
      <c r="K10" s="1">
        <f t="shared" si="1"/>
        <v>6760</v>
      </c>
    </row>
    <row r="11" spans="1:11">
      <c r="A11" s="1">
        <v>9</v>
      </c>
      <c r="B11" s="3">
        <v>45941</v>
      </c>
      <c r="C11" s="1" t="s">
        <v>25</v>
      </c>
      <c r="D11" s="1" t="s">
        <v>26</v>
      </c>
      <c r="E11" s="1" t="s">
        <v>27</v>
      </c>
      <c r="F11" s="1" t="s">
        <v>15</v>
      </c>
      <c r="G11" s="1">
        <v>4.59</v>
      </c>
      <c r="H11" s="1">
        <v>1000</v>
      </c>
      <c r="I11" s="1">
        <f t="shared" si="0"/>
        <v>4590</v>
      </c>
      <c r="J11" s="1">
        <v>400</v>
      </c>
      <c r="K11" s="1">
        <f t="shared" si="1"/>
        <v>4990</v>
      </c>
    </row>
    <row r="12" spans="1:11">
      <c r="A12" s="1">
        <v>10</v>
      </c>
      <c r="B12" s="3">
        <v>45941</v>
      </c>
      <c r="C12" s="1" t="s">
        <v>25</v>
      </c>
      <c r="D12" s="1" t="s">
        <v>26</v>
      </c>
      <c r="E12" s="1" t="s">
        <v>28</v>
      </c>
      <c r="F12" s="1" t="s">
        <v>15</v>
      </c>
      <c r="G12" s="1">
        <v>4.0199999999999996</v>
      </c>
      <c r="H12" s="1">
        <v>1000</v>
      </c>
      <c r="I12" s="1">
        <f t="shared" si="0"/>
        <v>4019.9999999999995</v>
      </c>
      <c r="J12" s="1">
        <v>0</v>
      </c>
      <c r="K12" s="1">
        <f t="shared" si="1"/>
        <v>4020</v>
      </c>
    </row>
    <row r="13" spans="1:11" ht="30">
      <c r="A13" s="1">
        <v>11</v>
      </c>
      <c r="B13" s="3">
        <v>45941</v>
      </c>
      <c r="C13" s="1" t="s">
        <v>30</v>
      </c>
      <c r="D13" s="1" t="s">
        <v>6</v>
      </c>
      <c r="E13" s="1" t="s">
        <v>7</v>
      </c>
      <c r="F13" s="1" t="s">
        <v>15</v>
      </c>
      <c r="G13" s="1">
        <v>6.99</v>
      </c>
      <c r="H13" s="1">
        <v>1000</v>
      </c>
      <c r="I13" s="1">
        <f t="shared" si="0"/>
        <v>6990</v>
      </c>
      <c r="J13" s="1">
        <v>0</v>
      </c>
      <c r="K13" s="1">
        <f t="shared" si="1"/>
        <v>6990</v>
      </c>
    </row>
    <row r="14" spans="1:11" ht="30">
      <c r="A14" s="6">
        <v>12</v>
      </c>
      <c r="B14" s="3">
        <v>45941</v>
      </c>
      <c r="C14" s="6" t="s">
        <v>30</v>
      </c>
      <c r="D14" s="6" t="s">
        <v>6</v>
      </c>
      <c r="E14" s="6" t="s">
        <v>7</v>
      </c>
      <c r="F14" s="7" t="s">
        <v>31</v>
      </c>
      <c r="G14" s="4">
        <v>5.88</v>
      </c>
      <c r="H14" s="6">
        <v>1000</v>
      </c>
      <c r="I14" s="6">
        <f t="shared" si="0"/>
        <v>5880</v>
      </c>
      <c r="J14" s="6">
        <v>0</v>
      </c>
      <c r="K14" s="1">
        <f t="shared" si="1"/>
        <v>5880</v>
      </c>
    </row>
    <row r="15" spans="1:11" ht="30">
      <c r="A15" s="1">
        <v>13</v>
      </c>
      <c r="B15" s="3">
        <v>45941</v>
      </c>
      <c r="C15" s="1" t="s">
        <v>30</v>
      </c>
      <c r="D15" s="1" t="s">
        <v>6</v>
      </c>
      <c r="E15" s="1" t="s">
        <v>7</v>
      </c>
      <c r="F15" s="5" t="s">
        <v>31</v>
      </c>
      <c r="G15" s="5">
        <v>6.57</v>
      </c>
      <c r="H15" s="1">
        <v>1000</v>
      </c>
      <c r="I15" s="1">
        <f t="shared" ref="I15:I18" si="2">G15*H15</f>
        <v>6570</v>
      </c>
      <c r="J15" s="1">
        <v>0</v>
      </c>
      <c r="K15" s="1">
        <f t="shared" si="1"/>
        <v>6570</v>
      </c>
    </row>
    <row r="16" spans="1:11" ht="20.25" customHeight="1">
      <c r="A16" s="1">
        <v>14</v>
      </c>
      <c r="B16" s="3">
        <v>45941</v>
      </c>
      <c r="C16" s="5" t="s">
        <v>32</v>
      </c>
      <c r="D16" s="5" t="s">
        <v>33</v>
      </c>
      <c r="E16" s="5" t="s">
        <v>34</v>
      </c>
      <c r="F16" s="5" t="s">
        <v>35</v>
      </c>
      <c r="G16" s="5">
        <v>4.45</v>
      </c>
      <c r="H16" s="5">
        <v>300</v>
      </c>
      <c r="I16" s="5">
        <f t="shared" si="2"/>
        <v>1335</v>
      </c>
      <c r="J16" s="1">
        <v>0</v>
      </c>
      <c r="K16" s="1">
        <f t="shared" si="1"/>
        <v>1340</v>
      </c>
    </row>
    <row r="17" spans="1:11" ht="19.5" customHeight="1">
      <c r="A17" s="1">
        <v>15</v>
      </c>
      <c r="B17" s="3">
        <v>45941</v>
      </c>
      <c r="C17" s="5" t="s">
        <v>32</v>
      </c>
      <c r="D17" s="5" t="s">
        <v>33</v>
      </c>
      <c r="E17" s="5" t="s">
        <v>34</v>
      </c>
      <c r="F17" s="5" t="s">
        <v>35</v>
      </c>
      <c r="G17" s="2">
        <v>4.71</v>
      </c>
      <c r="H17" s="5">
        <v>300</v>
      </c>
      <c r="I17" s="2">
        <f t="shared" si="2"/>
        <v>1413</v>
      </c>
      <c r="J17" s="1">
        <v>0</v>
      </c>
      <c r="K17" s="1">
        <f t="shared" si="1"/>
        <v>1410</v>
      </c>
    </row>
    <row r="18" spans="1:11">
      <c r="A18" s="1">
        <v>16</v>
      </c>
      <c r="B18" s="3">
        <v>45941</v>
      </c>
      <c r="C18" s="5" t="s">
        <v>32</v>
      </c>
      <c r="D18" s="5" t="s">
        <v>33</v>
      </c>
      <c r="E18" s="2" t="s">
        <v>36</v>
      </c>
      <c r="F18" s="5" t="s">
        <v>35</v>
      </c>
      <c r="G18" s="2">
        <v>4.43</v>
      </c>
      <c r="H18" s="5">
        <v>300</v>
      </c>
      <c r="I18" s="2">
        <f t="shared" si="2"/>
        <v>1329</v>
      </c>
      <c r="J18" s="1">
        <v>400</v>
      </c>
      <c r="K18" s="1">
        <f t="shared" si="1"/>
        <v>1730</v>
      </c>
    </row>
    <row r="19" spans="1:11">
      <c r="A19" s="45" t="s">
        <v>55</v>
      </c>
      <c r="B19" s="45"/>
      <c r="C19" s="45"/>
      <c r="D19" s="45"/>
      <c r="E19" s="45"/>
      <c r="F19" s="45"/>
      <c r="G19" s="45"/>
      <c r="H19" s="45"/>
      <c r="I19" s="45"/>
      <c r="J19" s="45"/>
      <c r="K19" s="1">
        <f>SUM(K3:K18)</f>
        <v>82100</v>
      </c>
    </row>
    <row r="20" spans="1:11">
      <c r="A20" s="8"/>
      <c r="B20" s="9"/>
      <c r="C20" s="10"/>
      <c r="D20" s="10"/>
      <c r="E20" s="11"/>
      <c r="F20" s="10"/>
      <c r="G20" s="11"/>
      <c r="H20" s="10"/>
      <c r="I20" s="11"/>
      <c r="J20" s="8"/>
      <c r="K20" s="8"/>
    </row>
    <row r="21" spans="1:11">
      <c r="A21" s="8"/>
      <c r="B21" s="9"/>
      <c r="C21" s="10"/>
      <c r="D21" s="10"/>
      <c r="E21" s="11"/>
      <c r="F21" s="10"/>
      <c r="G21" s="11"/>
      <c r="H21" s="10"/>
      <c r="I21" s="11"/>
      <c r="J21" s="8"/>
      <c r="K21" s="8"/>
    </row>
    <row r="23" spans="1:11">
      <c r="A23" s="42" t="s">
        <v>37</v>
      </c>
      <c r="B23" s="43"/>
      <c r="C23" s="43"/>
      <c r="D23" s="43"/>
      <c r="E23" s="43"/>
      <c r="F23" s="43"/>
      <c r="G23" s="43"/>
      <c r="H23" s="43"/>
      <c r="I23" s="43"/>
      <c r="J23" s="43"/>
      <c r="K23" s="44"/>
    </row>
    <row r="24" spans="1:11" ht="30">
      <c r="A24" s="2" t="s">
        <v>8</v>
      </c>
      <c r="B24" s="2" t="s">
        <v>20</v>
      </c>
      <c r="C24" s="1" t="s">
        <v>0</v>
      </c>
      <c r="D24" s="1" t="s">
        <v>1</v>
      </c>
      <c r="E24" s="1" t="s">
        <v>2</v>
      </c>
      <c r="F24" s="1" t="s">
        <v>12</v>
      </c>
      <c r="G24" s="1" t="s">
        <v>3</v>
      </c>
      <c r="H24" s="1" t="s">
        <v>13</v>
      </c>
      <c r="I24" s="1" t="s">
        <v>5</v>
      </c>
      <c r="J24" s="1" t="s">
        <v>4</v>
      </c>
      <c r="K24" s="1" t="s">
        <v>14</v>
      </c>
    </row>
    <row r="25" spans="1:11">
      <c r="A25" s="2">
        <v>1</v>
      </c>
      <c r="B25" s="12">
        <v>45941</v>
      </c>
      <c r="C25" s="2" t="s">
        <v>38</v>
      </c>
      <c r="D25" s="2" t="s">
        <v>39</v>
      </c>
      <c r="E25" s="2" t="s">
        <v>40</v>
      </c>
      <c r="F25" s="1" t="s">
        <v>15</v>
      </c>
      <c r="G25" s="2">
        <v>5.8</v>
      </c>
      <c r="H25" s="2">
        <v>1000</v>
      </c>
      <c r="I25" s="2">
        <f>G25*H25</f>
        <v>5800</v>
      </c>
      <c r="J25" s="2">
        <v>600</v>
      </c>
      <c r="K25" s="2">
        <f>I25+J25</f>
        <v>6400</v>
      </c>
    </row>
    <row r="26" spans="1:11">
      <c r="A26" s="2">
        <v>2</v>
      </c>
      <c r="B26" s="12">
        <v>45941</v>
      </c>
      <c r="C26" s="2" t="s">
        <v>42</v>
      </c>
      <c r="D26" s="2" t="s">
        <v>43</v>
      </c>
      <c r="E26" s="2" t="s">
        <v>41</v>
      </c>
      <c r="F26" s="1" t="s">
        <v>15</v>
      </c>
      <c r="G26" s="2">
        <v>4.05</v>
      </c>
      <c r="H26" s="2">
        <v>1000</v>
      </c>
      <c r="I26" s="2">
        <f t="shared" ref="I26:I29" si="3">G26*H26</f>
        <v>4050</v>
      </c>
      <c r="J26" s="2">
        <v>400</v>
      </c>
      <c r="K26" s="2">
        <f t="shared" ref="K26:K29" si="4">I26+J26</f>
        <v>4450</v>
      </c>
    </row>
    <row r="27" spans="1:11">
      <c r="A27" s="2">
        <v>3</v>
      </c>
      <c r="B27" s="12">
        <v>45941</v>
      </c>
      <c r="C27" s="2" t="s">
        <v>42</v>
      </c>
      <c r="D27" s="2" t="s">
        <v>43</v>
      </c>
      <c r="E27" s="2" t="s">
        <v>41</v>
      </c>
      <c r="F27" s="1" t="s">
        <v>15</v>
      </c>
      <c r="G27" s="2">
        <v>3.93</v>
      </c>
      <c r="H27" s="2">
        <v>1000</v>
      </c>
      <c r="I27" s="2">
        <f t="shared" si="3"/>
        <v>3930</v>
      </c>
      <c r="J27" s="2">
        <v>0</v>
      </c>
      <c r="K27" s="2">
        <f t="shared" si="4"/>
        <v>3930</v>
      </c>
    </row>
    <row r="28" spans="1:11">
      <c r="A28" s="2">
        <v>4</v>
      </c>
      <c r="B28" s="12">
        <v>45941</v>
      </c>
      <c r="C28" s="2" t="s">
        <v>42</v>
      </c>
      <c r="D28" s="2" t="s">
        <v>43</v>
      </c>
      <c r="E28" s="2" t="s">
        <v>41</v>
      </c>
      <c r="F28" s="1" t="s">
        <v>15</v>
      </c>
      <c r="G28" s="2">
        <v>4.1900000000000004</v>
      </c>
      <c r="H28" s="2">
        <v>1000</v>
      </c>
      <c r="I28" s="2">
        <f t="shared" si="3"/>
        <v>4190</v>
      </c>
      <c r="J28" s="2">
        <v>0</v>
      </c>
      <c r="K28" s="2">
        <f t="shared" si="4"/>
        <v>4190</v>
      </c>
    </row>
    <row r="29" spans="1:11">
      <c r="A29" s="2">
        <v>5</v>
      </c>
      <c r="B29" s="12">
        <v>45941</v>
      </c>
      <c r="C29" s="2" t="s">
        <v>42</v>
      </c>
      <c r="D29" s="2" t="s">
        <v>43</v>
      </c>
      <c r="E29" s="2" t="s">
        <v>41</v>
      </c>
      <c r="F29" s="1" t="s">
        <v>15</v>
      </c>
      <c r="G29" s="2">
        <v>4.43</v>
      </c>
      <c r="H29" s="2">
        <v>1000</v>
      </c>
      <c r="I29" s="2">
        <f t="shared" si="3"/>
        <v>4430</v>
      </c>
      <c r="J29" s="2">
        <v>0</v>
      </c>
      <c r="K29" s="2">
        <f t="shared" si="4"/>
        <v>4430</v>
      </c>
    </row>
    <row r="30" spans="1:11">
      <c r="A30" s="42" t="s">
        <v>55</v>
      </c>
      <c r="B30" s="43"/>
      <c r="C30" s="43"/>
      <c r="D30" s="43"/>
      <c r="E30" s="43"/>
      <c r="F30" s="43"/>
      <c r="G30" s="43"/>
      <c r="H30" s="43"/>
      <c r="I30" s="43"/>
      <c r="J30" s="44"/>
      <c r="K30" s="13">
        <f>SUM(K25:K29)</f>
        <v>23400</v>
      </c>
    </row>
    <row r="31" spans="1:11">
      <c r="A31" s="11"/>
      <c r="B31" s="15"/>
      <c r="C31" s="11"/>
      <c r="D31" s="11"/>
      <c r="E31" s="11"/>
      <c r="F31" s="8"/>
      <c r="G31" s="11"/>
      <c r="H31" s="11"/>
      <c r="I31" s="11"/>
      <c r="J31" s="11"/>
      <c r="K31" s="11"/>
    </row>
    <row r="32" spans="1:11">
      <c r="A32" s="11"/>
      <c r="B32" s="15"/>
      <c r="C32" s="11"/>
      <c r="D32" s="11"/>
      <c r="E32" s="11"/>
      <c r="F32" s="8"/>
      <c r="G32" s="11"/>
      <c r="H32" s="11"/>
      <c r="I32" s="11"/>
      <c r="J32" s="11"/>
      <c r="K32" s="11"/>
    </row>
    <row r="33" spans="1:11">
      <c r="A33" s="11"/>
      <c r="B33" s="15"/>
      <c r="C33" s="11"/>
      <c r="D33" s="15">
        <v>45972</v>
      </c>
      <c r="E33" s="11"/>
      <c r="F33" s="8"/>
      <c r="G33" s="11"/>
      <c r="H33" s="11"/>
      <c r="I33" s="11"/>
      <c r="J33" s="11"/>
      <c r="K33" s="11"/>
    </row>
    <row r="35" spans="1:11">
      <c r="A35" s="46" t="s">
        <v>54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</row>
    <row r="36" spans="1:11" ht="30">
      <c r="A36" s="2" t="s">
        <v>8</v>
      </c>
      <c r="B36" s="2" t="s">
        <v>20</v>
      </c>
      <c r="C36" s="1" t="s">
        <v>0</v>
      </c>
      <c r="D36" s="1" t="s">
        <v>1</v>
      </c>
      <c r="E36" s="1" t="s">
        <v>2</v>
      </c>
      <c r="F36" s="1" t="s">
        <v>12</v>
      </c>
      <c r="G36" s="1" t="s">
        <v>3</v>
      </c>
      <c r="H36" s="1" t="s">
        <v>13</v>
      </c>
      <c r="I36" s="1" t="s">
        <v>5</v>
      </c>
      <c r="J36" s="1" t="s">
        <v>4</v>
      </c>
      <c r="K36" s="1" t="s">
        <v>14</v>
      </c>
    </row>
    <row r="37" spans="1:11">
      <c r="A37" s="2">
        <v>1</v>
      </c>
      <c r="B37" s="12">
        <v>45972</v>
      </c>
      <c r="C37" s="2" t="s">
        <v>25</v>
      </c>
      <c r="D37" s="2" t="s">
        <v>26</v>
      </c>
      <c r="E37" s="2" t="s">
        <v>44</v>
      </c>
      <c r="F37" s="2" t="s">
        <v>15</v>
      </c>
      <c r="G37" s="2">
        <v>7.51</v>
      </c>
      <c r="H37" s="2">
        <v>1000</v>
      </c>
      <c r="I37" s="2">
        <f>G37*H37</f>
        <v>7510</v>
      </c>
      <c r="J37" s="2">
        <v>0</v>
      </c>
      <c r="K37" s="2">
        <f>I37+J37</f>
        <v>7510</v>
      </c>
    </row>
    <row r="38" spans="1:11">
      <c r="A38" s="2">
        <v>2</v>
      </c>
      <c r="B38" s="12">
        <v>45972</v>
      </c>
      <c r="C38" s="2" t="s">
        <v>25</v>
      </c>
      <c r="D38" s="2" t="s">
        <v>26</v>
      </c>
      <c r="E38" s="2" t="s">
        <v>48</v>
      </c>
      <c r="F38" s="2" t="s">
        <v>15</v>
      </c>
      <c r="G38" s="2">
        <v>3.98</v>
      </c>
      <c r="H38" s="2">
        <v>1000</v>
      </c>
      <c r="I38" s="2">
        <f>G38*H38</f>
        <v>3980</v>
      </c>
      <c r="J38" s="2">
        <v>0</v>
      </c>
      <c r="K38" s="2">
        <f>I38+J38</f>
        <v>3980</v>
      </c>
    </row>
    <row r="39" spans="1:11">
      <c r="A39" s="2">
        <v>3</v>
      </c>
      <c r="B39" s="12">
        <v>45972</v>
      </c>
      <c r="C39" s="2" t="s">
        <v>45</v>
      </c>
      <c r="D39" s="2" t="s">
        <v>46</v>
      </c>
      <c r="E39" s="2" t="s">
        <v>47</v>
      </c>
      <c r="F39" s="2" t="s">
        <v>31</v>
      </c>
      <c r="G39" s="2">
        <v>5.29</v>
      </c>
      <c r="H39" s="2">
        <v>1000</v>
      </c>
      <c r="I39" s="2">
        <f t="shared" ref="I39:I43" si="5">G39*H39</f>
        <v>5290</v>
      </c>
      <c r="J39" s="2">
        <v>500</v>
      </c>
      <c r="K39" s="2">
        <f t="shared" ref="K39:K43" si="6">I39+J39</f>
        <v>5790</v>
      </c>
    </row>
    <row r="40" spans="1:11">
      <c r="A40" s="2">
        <v>4</v>
      </c>
      <c r="B40" s="12">
        <v>45972</v>
      </c>
      <c r="C40" s="2" t="s">
        <v>45</v>
      </c>
      <c r="D40" s="2" t="s">
        <v>46</v>
      </c>
      <c r="E40" s="2" t="s">
        <v>47</v>
      </c>
      <c r="F40" s="2" t="s">
        <v>31</v>
      </c>
      <c r="G40" s="2">
        <v>5.66</v>
      </c>
      <c r="H40" s="2">
        <v>1000</v>
      </c>
      <c r="I40" s="2">
        <f t="shared" si="5"/>
        <v>5660</v>
      </c>
      <c r="J40" s="2">
        <v>0</v>
      </c>
      <c r="K40" s="2">
        <f t="shared" si="6"/>
        <v>5660</v>
      </c>
    </row>
    <row r="41" spans="1:11">
      <c r="A41" s="2">
        <v>5</v>
      </c>
      <c r="B41" s="12">
        <v>45972</v>
      </c>
      <c r="C41" s="2" t="s">
        <v>45</v>
      </c>
      <c r="D41" s="2" t="s">
        <v>46</v>
      </c>
      <c r="E41" s="2" t="s">
        <v>47</v>
      </c>
      <c r="F41" s="2" t="s">
        <v>31</v>
      </c>
      <c r="G41" s="2">
        <v>5.83</v>
      </c>
      <c r="H41" s="2">
        <v>1000</v>
      </c>
      <c r="I41" s="2">
        <f t="shared" si="5"/>
        <v>5830</v>
      </c>
      <c r="J41" s="2">
        <v>0</v>
      </c>
      <c r="K41" s="2">
        <f t="shared" si="6"/>
        <v>5830</v>
      </c>
    </row>
    <row r="42" spans="1:11">
      <c r="A42" s="2">
        <v>6</v>
      </c>
      <c r="B42" s="12">
        <v>45972</v>
      </c>
      <c r="C42" s="13" t="s">
        <v>21</v>
      </c>
      <c r="D42" s="13" t="s">
        <v>49</v>
      </c>
      <c r="E42" s="13" t="s">
        <v>50</v>
      </c>
      <c r="F42" s="13" t="s">
        <v>15</v>
      </c>
      <c r="G42" s="2">
        <v>4.28</v>
      </c>
      <c r="H42" s="2">
        <v>1000</v>
      </c>
      <c r="I42" s="2">
        <f t="shared" si="5"/>
        <v>4280</v>
      </c>
      <c r="J42" s="2">
        <v>0</v>
      </c>
      <c r="K42" s="2">
        <f t="shared" si="6"/>
        <v>4280</v>
      </c>
    </row>
    <row r="43" spans="1:11">
      <c r="A43" s="2">
        <v>7</v>
      </c>
      <c r="B43" s="12">
        <v>45972</v>
      </c>
      <c r="C43" s="13" t="s">
        <v>21</v>
      </c>
      <c r="D43" s="13" t="s">
        <v>49</v>
      </c>
      <c r="E43" s="13" t="s">
        <v>50</v>
      </c>
      <c r="F43" s="13" t="s">
        <v>15</v>
      </c>
      <c r="G43" s="2">
        <v>4.3899999999999997</v>
      </c>
      <c r="H43" s="2">
        <v>1000</v>
      </c>
      <c r="I43" s="2">
        <f t="shared" si="5"/>
        <v>4390</v>
      </c>
      <c r="J43" s="2">
        <v>0</v>
      </c>
      <c r="K43" s="2">
        <f t="shared" si="6"/>
        <v>4390</v>
      </c>
    </row>
    <row r="44" spans="1:11">
      <c r="A44" s="46" t="s">
        <v>55</v>
      </c>
      <c r="B44" s="46"/>
      <c r="C44" s="46"/>
      <c r="D44" s="46"/>
      <c r="E44" s="46"/>
      <c r="F44" s="46"/>
      <c r="G44" s="46"/>
      <c r="H44" s="46"/>
      <c r="I44" s="46"/>
      <c r="J44" s="46"/>
      <c r="K44" s="13">
        <f>SUM(K37:K43)</f>
        <v>37440</v>
      </c>
    </row>
    <row r="45" spans="1:11">
      <c r="A45" s="11"/>
      <c r="B45" s="15"/>
      <c r="C45" s="14"/>
      <c r="D45" s="14"/>
      <c r="E45" s="14"/>
      <c r="F45" s="14"/>
      <c r="G45" s="11"/>
      <c r="H45" s="11"/>
      <c r="I45" s="11"/>
      <c r="J45" s="11"/>
      <c r="K45" s="11"/>
    </row>
    <row r="46" spans="1:11">
      <c r="A46" s="11"/>
      <c r="B46" s="15"/>
      <c r="C46" s="14"/>
      <c r="D46" s="14"/>
      <c r="E46" s="14"/>
      <c r="F46" s="14"/>
      <c r="G46" s="11"/>
      <c r="H46" s="11"/>
      <c r="I46" s="11"/>
      <c r="J46" s="11"/>
      <c r="K46" s="11"/>
    </row>
    <row r="47" spans="1:11">
      <c r="A47" s="11"/>
      <c r="B47" s="15"/>
      <c r="C47" s="14"/>
      <c r="D47" s="14"/>
      <c r="E47" s="14"/>
      <c r="F47" s="14"/>
      <c r="G47" s="11"/>
      <c r="H47" s="11"/>
      <c r="I47" s="11"/>
      <c r="J47" s="11"/>
      <c r="K47" s="11"/>
    </row>
    <row r="48" spans="1:11">
      <c r="A48" s="11"/>
      <c r="B48" s="15"/>
      <c r="C48" s="14"/>
      <c r="D48" s="14"/>
      <c r="E48" s="14"/>
      <c r="F48" s="14"/>
      <c r="G48" s="11"/>
      <c r="H48" s="11"/>
      <c r="I48" s="11"/>
      <c r="J48" s="11"/>
      <c r="K48" s="11"/>
    </row>
    <row r="49" spans="1:11">
      <c r="A49" s="39" t="s">
        <v>37</v>
      </c>
      <c r="B49" s="40"/>
      <c r="C49" s="40"/>
      <c r="D49" s="40"/>
      <c r="E49" s="40"/>
      <c r="F49" s="40"/>
      <c r="G49" s="40"/>
      <c r="H49" s="40"/>
      <c r="I49" s="40"/>
      <c r="J49" s="40"/>
      <c r="K49" s="41"/>
    </row>
    <row r="50" spans="1:11" ht="30">
      <c r="A50" s="2" t="s">
        <v>56</v>
      </c>
      <c r="B50" s="12" t="s">
        <v>20</v>
      </c>
      <c r="C50" s="1" t="s">
        <v>0</v>
      </c>
      <c r="D50" s="1" t="s">
        <v>1</v>
      </c>
      <c r="E50" s="1" t="s">
        <v>2</v>
      </c>
      <c r="F50" s="1" t="s">
        <v>12</v>
      </c>
      <c r="G50" s="1" t="s">
        <v>3</v>
      </c>
      <c r="H50" s="1" t="s">
        <v>13</v>
      </c>
      <c r="I50" s="1" t="s">
        <v>5</v>
      </c>
      <c r="J50" s="1" t="s">
        <v>4</v>
      </c>
      <c r="K50" s="1" t="s">
        <v>14</v>
      </c>
    </row>
    <row r="51" spans="1:11">
      <c r="A51" s="2">
        <v>1</v>
      </c>
      <c r="B51" s="12">
        <v>45972</v>
      </c>
      <c r="C51" s="13" t="s">
        <v>51</v>
      </c>
      <c r="D51" s="2" t="s">
        <v>52</v>
      </c>
      <c r="E51" s="2" t="s">
        <v>53</v>
      </c>
      <c r="F51" s="2" t="s">
        <v>35</v>
      </c>
      <c r="G51" s="2">
        <v>6.94</v>
      </c>
      <c r="H51" s="2">
        <v>300</v>
      </c>
      <c r="I51" s="2">
        <f>G51*H51</f>
        <v>2082</v>
      </c>
      <c r="J51" s="2">
        <v>0</v>
      </c>
      <c r="K51" s="2">
        <f>ROUND(I51+J51,-1)</f>
        <v>2080</v>
      </c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42" t="s">
        <v>55</v>
      </c>
      <c r="D54" s="43"/>
      <c r="E54" s="43"/>
      <c r="F54" s="43"/>
      <c r="G54" s="43"/>
      <c r="H54" s="43"/>
      <c r="I54" s="43"/>
      <c r="J54" s="44"/>
      <c r="K54" s="2">
        <f>SUM(K51:K53)</f>
        <v>2080</v>
      </c>
    </row>
    <row r="57" spans="1:11">
      <c r="A57" s="39" t="s">
        <v>54</v>
      </c>
      <c r="B57" s="40"/>
      <c r="C57" s="40"/>
      <c r="D57" s="40"/>
      <c r="E57" s="40"/>
      <c r="F57" s="40"/>
      <c r="G57" s="40"/>
      <c r="H57" s="40"/>
      <c r="I57" s="40"/>
      <c r="J57" s="40"/>
      <c r="K57" s="41"/>
    </row>
    <row r="58" spans="1:11" ht="30">
      <c r="A58" s="2" t="s">
        <v>56</v>
      </c>
      <c r="B58" s="12" t="s">
        <v>20</v>
      </c>
      <c r="C58" s="16" t="s">
        <v>0</v>
      </c>
      <c r="D58" s="16" t="s">
        <v>1</v>
      </c>
      <c r="E58" s="16" t="s">
        <v>2</v>
      </c>
      <c r="F58" s="16" t="s">
        <v>12</v>
      </c>
      <c r="G58" s="16" t="s">
        <v>3</v>
      </c>
      <c r="H58" s="16" t="s">
        <v>13</v>
      </c>
      <c r="I58" s="16" t="s">
        <v>5</v>
      </c>
      <c r="J58" s="16" t="s">
        <v>4</v>
      </c>
      <c r="K58" s="16" t="s">
        <v>14</v>
      </c>
    </row>
    <row r="59" spans="1:11">
      <c r="A59" s="2">
        <v>1</v>
      </c>
      <c r="B59" s="12">
        <v>45973</v>
      </c>
      <c r="C59" s="13" t="s">
        <v>25</v>
      </c>
      <c r="D59" s="2" t="s">
        <v>26</v>
      </c>
      <c r="E59" s="2" t="s">
        <v>27</v>
      </c>
      <c r="F59" s="2" t="s">
        <v>57</v>
      </c>
      <c r="G59" s="2">
        <v>4.4000000000000004</v>
      </c>
      <c r="H59" s="2">
        <v>1000</v>
      </c>
      <c r="I59" s="2">
        <f>G59*H59</f>
        <v>4400</v>
      </c>
      <c r="J59" s="2">
        <v>400</v>
      </c>
      <c r="K59" s="2">
        <f>ROUND(I59+J59,-1)</f>
        <v>4800</v>
      </c>
    </row>
    <row r="60" spans="1:11">
      <c r="A60" s="2">
        <v>2</v>
      </c>
      <c r="B60" s="12">
        <v>45973</v>
      </c>
      <c r="C60" s="13" t="s">
        <v>25</v>
      </c>
      <c r="D60" s="2" t="s">
        <v>26</v>
      </c>
      <c r="E60" s="2" t="s">
        <v>27</v>
      </c>
      <c r="F60" s="2" t="s">
        <v>57</v>
      </c>
      <c r="G60" s="2">
        <v>4.3499999999999996</v>
      </c>
      <c r="H60" s="2">
        <v>1000</v>
      </c>
      <c r="I60" s="2">
        <f>G60*H60</f>
        <v>4350</v>
      </c>
      <c r="J60" s="2">
        <v>0</v>
      </c>
      <c r="K60" s="2">
        <f>ROUND(I60+J60,-1)</f>
        <v>4350</v>
      </c>
    </row>
    <row r="61" spans="1:11">
      <c r="A61" s="18">
        <v>3</v>
      </c>
      <c r="B61" s="12">
        <v>45973</v>
      </c>
      <c r="C61" s="13" t="s">
        <v>25</v>
      </c>
      <c r="D61" s="17" t="s">
        <v>26</v>
      </c>
      <c r="E61" s="17" t="s">
        <v>27</v>
      </c>
      <c r="F61" s="17" t="s">
        <v>57</v>
      </c>
      <c r="G61" s="17">
        <v>4.17</v>
      </c>
      <c r="H61" s="17">
        <v>1000</v>
      </c>
      <c r="I61" s="17">
        <f t="shared" ref="I61:I62" si="7">G61*H61</f>
        <v>4170</v>
      </c>
      <c r="J61" s="17">
        <v>400</v>
      </c>
      <c r="K61" s="17">
        <f>ROUND(I61+J61,-1)</f>
        <v>4570</v>
      </c>
    </row>
    <row r="62" spans="1:11">
      <c r="A62" s="20">
        <v>4</v>
      </c>
      <c r="B62" s="12">
        <v>45973</v>
      </c>
      <c r="C62" s="13" t="s">
        <v>25</v>
      </c>
      <c r="D62" s="19" t="s">
        <v>26</v>
      </c>
      <c r="E62" s="19" t="s">
        <v>27</v>
      </c>
      <c r="F62" s="19" t="s">
        <v>57</v>
      </c>
      <c r="G62" s="19">
        <v>4.59</v>
      </c>
      <c r="H62" s="19">
        <v>1000</v>
      </c>
      <c r="I62" s="19">
        <f t="shared" si="7"/>
        <v>4590</v>
      </c>
      <c r="J62" s="19">
        <v>0</v>
      </c>
      <c r="K62" s="19">
        <f>ROUND(I62+J62,-1)</f>
        <v>4590</v>
      </c>
    </row>
    <row r="63" spans="1:11">
      <c r="A63" s="47" t="s">
        <v>55</v>
      </c>
      <c r="B63" s="47"/>
      <c r="C63" s="47"/>
      <c r="D63" s="47"/>
      <c r="E63" s="47"/>
      <c r="F63" s="47"/>
      <c r="G63" s="47"/>
      <c r="H63" s="47"/>
      <c r="I63" s="47"/>
      <c r="J63" s="47"/>
      <c r="K63" s="2">
        <f>SUM(K59:K61)</f>
        <v>13720</v>
      </c>
    </row>
    <row r="67" spans="1:12">
      <c r="A67" s="39" t="s">
        <v>37</v>
      </c>
      <c r="B67" s="40"/>
      <c r="C67" s="40"/>
      <c r="D67" s="40"/>
      <c r="E67" s="40"/>
      <c r="F67" s="40"/>
      <c r="G67" s="40"/>
      <c r="H67" s="40"/>
      <c r="I67" s="40"/>
      <c r="J67" s="40"/>
      <c r="K67" s="41"/>
    </row>
    <row r="68" spans="1:12" ht="30">
      <c r="A68" s="2" t="s">
        <v>56</v>
      </c>
      <c r="B68" s="12" t="s">
        <v>20</v>
      </c>
      <c r="C68" s="16" t="s">
        <v>0</v>
      </c>
      <c r="D68" s="16" t="s">
        <v>1</v>
      </c>
      <c r="E68" s="16" t="s">
        <v>2</v>
      </c>
      <c r="F68" s="16" t="s">
        <v>12</v>
      </c>
      <c r="G68" s="16" t="s">
        <v>3</v>
      </c>
      <c r="H68" s="16" t="s">
        <v>13</v>
      </c>
      <c r="I68" s="16" t="s">
        <v>5</v>
      </c>
      <c r="J68" s="16" t="s">
        <v>4</v>
      </c>
      <c r="K68" s="16" t="s">
        <v>14</v>
      </c>
    </row>
    <row r="69" spans="1:12">
      <c r="A69" s="2">
        <v>1</v>
      </c>
      <c r="B69" s="12">
        <v>46002</v>
      </c>
      <c r="C69" s="2" t="s">
        <v>42</v>
      </c>
      <c r="D69" s="2" t="s">
        <v>43</v>
      </c>
      <c r="E69" s="2" t="s">
        <v>41</v>
      </c>
      <c r="F69" s="16" t="s">
        <v>15</v>
      </c>
      <c r="G69" s="2">
        <v>4.43</v>
      </c>
      <c r="H69" s="2">
        <v>1000</v>
      </c>
      <c r="I69" s="2">
        <f t="shared" ref="I69" si="8">G69*H69</f>
        <v>4430</v>
      </c>
      <c r="J69" s="2">
        <v>300</v>
      </c>
      <c r="K69" s="2">
        <f t="shared" ref="K69" si="9">I69+J69</f>
        <v>4730</v>
      </c>
      <c r="L69" t="s">
        <v>58</v>
      </c>
    </row>
    <row r="70" spans="1:12">
      <c r="A70" s="47" t="s">
        <v>55</v>
      </c>
      <c r="B70" s="47"/>
      <c r="C70" s="47"/>
      <c r="D70" s="47"/>
      <c r="E70" s="47"/>
      <c r="F70" s="47"/>
      <c r="G70" s="47"/>
      <c r="H70" s="47"/>
      <c r="I70" s="47"/>
      <c r="J70" s="47"/>
      <c r="K70" s="2">
        <f>SUM(K68:K69)</f>
        <v>4730</v>
      </c>
    </row>
    <row r="75" spans="1:12">
      <c r="A75" s="39" t="s">
        <v>37</v>
      </c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1"/>
    </row>
    <row r="76" spans="1:12" ht="30">
      <c r="A76" s="22" t="s">
        <v>56</v>
      </c>
      <c r="B76" s="12" t="s">
        <v>20</v>
      </c>
      <c r="C76" s="21" t="s">
        <v>0</v>
      </c>
      <c r="D76" s="21" t="s">
        <v>1</v>
      </c>
      <c r="E76" s="21" t="s">
        <v>2</v>
      </c>
      <c r="F76" s="21" t="s">
        <v>12</v>
      </c>
      <c r="G76" s="21" t="s">
        <v>3</v>
      </c>
      <c r="H76" s="21" t="s">
        <v>13</v>
      </c>
      <c r="I76" s="21" t="s">
        <v>5</v>
      </c>
      <c r="J76" s="21" t="s">
        <v>4</v>
      </c>
      <c r="K76" s="21" t="s">
        <v>63</v>
      </c>
      <c r="L76" s="21" t="s">
        <v>14</v>
      </c>
    </row>
    <row r="77" spans="1:12" ht="18.75" customHeight="1">
      <c r="A77" s="22">
        <v>1</v>
      </c>
      <c r="B77" s="12" t="s">
        <v>59</v>
      </c>
      <c r="C77" s="21" t="s">
        <v>51</v>
      </c>
      <c r="D77" s="21" t="s">
        <v>39</v>
      </c>
      <c r="E77" s="21" t="s">
        <v>62</v>
      </c>
      <c r="F77" s="21" t="s">
        <v>31</v>
      </c>
      <c r="G77" s="21">
        <v>2</v>
      </c>
      <c r="H77" s="21">
        <v>1000</v>
      </c>
      <c r="I77" s="22">
        <f t="shared" ref="I77:I78" si="10">G77*H77</f>
        <v>2000</v>
      </c>
      <c r="J77" s="21">
        <v>0</v>
      </c>
      <c r="K77" s="21">
        <v>30</v>
      </c>
      <c r="L77" s="22">
        <f>I77+J77-K77</f>
        <v>1970</v>
      </c>
    </row>
    <row r="78" spans="1:12">
      <c r="A78" s="22">
        <v>2</v>
      </c>
      <c r="B78" s="12" t="s">
        <v>59</v>
      </c>
      <c r="C78" s="22" t="s">
        <v>60</v>
      </c>
      <c r="D78" s="22" t="s">
        <v>52</v>
      </c>
      <c r="E78" s="22" t="s">
        <v>61</v>
      </c>
      <c r="F78" s="21" t="s">
        <v>15</v>
      </c>
      <c r="G78" s="22">
        <v>10.61</v>
      </c>
      <c r="H78" s="22">
        <v>1000</v>
      </c>
      <c r="I78" s="22">
        <f t="shared" si="10"/>
        <v>10610</v>
      </c>
      <c r="J78" s="22">
        <v>400</v>
      </c>
      <c r="K78" s="22">
        <v>0</v>
      </c>
      <c r="L78" s="22">
        <f t="shared" ref="L78" si="11">I78+J78</f>
        <v>11010</v>
      </c>
    </row>
    <row r="79" spans="1:12">
      <c r="A79" s="42" t="s">
        <v>55</v>
      </c>
      <c r="B79" s="43"/>
      <c r="C79" s="43"/>
      <c r="D79" s="43"/>
      <c r="E79" s="43"/>
      <c r="F79" s="43"/>
      <c r="G79" s="43"/>
      <c r="H79" s="43"/>
      <c r="I79" s="43"/>
      <c r="J79" s="43"/>
      <c r="K79" s="44"/>
      <c r="L79" s="22">
        <f>SUM(L76:L78)</f>
        <v>12980</v>
      </c>
    </row>
    <row r="84" spans="1:12">
      <c r="A84" s="39" t="s">
        <v>54</v>
      </c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1"/>
    </row>
    <row r="85" spans="1:12" ht="30">
      <c r="A85" s="23" t="s">
        <v>56</v>
      </c>
      <c r="B85" s="12" t="s">
        <v>20</v>
      </c>
      <c r="C85" s="27" t="s">
        <v>0</v>
      </c>
      <c r="D85" s="27" t="s">
        <v>1</v>
      </c>
      <c r="E85" s="27" t="s">
        <v>2</v>
      </c>
      <c r="F85" s="27" t="s">
        <v>12</v>
      </c>
      <c r="G85" s="27" t="s">
        <v>3</v>
      </c>
      <c r="H85" s="27" t="s">
        <v>13</v>
      </c>
      <c r="I85" s="27" t="s">
        <v>5</v>
      </c>
      <c r="J85" s="27" t="s">
        <v>4</v>
      </c>
      <c r="K85" s="27" t="s">
        <v>63</v>
      </c>
      <c r="L85" s="27" t="s">
        <v>14</v>
      </c>
    </row>
    <row r="86" spans="1:12">
      <c r="A86">
        <v>1</v>
      </c>
      <c r="B86" s="33" t="s">
        <v>69</v>
      </c>
      <c r="C86" s="34" t="s">
        <v>64</v>
      </c>
      <c r="D86" s="34" t="s">
        <v>65</v>
      </c>
      <c r="E86" s="34" t="s">
        <v>66</v>
      </c>
      <c r="F86" s="35" t="s">
        <v>68</v>
      </c>
      <c r="G86" s="36">
        <v>9.1199999999999992</v>
      </c>
      <c r="H86" s="36">
        <v>1050</v>
      </c>
      <c r="I86" s="37">
        <f>ROUND(G86*H86,-1)</f>
        <v>9580</v>
      </c>
      <c r="J86" s="36">
        <v>500</v>
      </c>
      <c r="K86" s="37">
        <v>0</v>
      </c>
      <c r="L86" s="27">
        <f>ROUND(I86+J86-K86,-1)</f>
        <v>10080</v>
      </c>
    </row>
    <row r="87" spans="1:12">
      <c r="A87">
        <v>2</v>
      </c>
      <c r="B87" s="33" t="s">
        <v>69</v>
      </c>
      <c r="C87" s="38" t="s">
        <v>64</v>
      </c>
      <c r="D87" s="38" t="s">
        <v>65</v>
      </c>
      <c r="E87" s="38" t="s">
        <v>67</v>
      </c>
      <c r="F87" s="35" t="s">
        <v>68</v>
      </c>
      <c r="G87" s="37">
        <v>9.16</v>
      </c>
      <c r="H87" s="37">
        <v>1050</v>
      </c>
      <c r="I87" s="37">
        <f t="shared" ref="I87:I91" si="12">ROUND(G87*H87,-1)</f>
        <v>9620</v>
      </c>
      <c r="J87" s="37">
        <v>500</v>
      </c>
      <c r="K87" s="37">
        <v>0</v>
      </c>
      <c r="L87" s="28">
        <f t="shared" ref="L87:L91" si="13">ROUND(I87+J87-K87,-1)</f>
        <v>10120</v>
      </c>
    </row>
    <row r="88" spans="1:12">
      <c r="A88">
        <v>3</v>
      </c>
      <c r="B88" s="33" t="s">
        <v>69</v>
      </c>
      <c r="C88" s="29" t="s">
        <v>64</v>
      </c>
      <c r="D88" s="29" t="s">
        <v>65</v>
      </c>
      <c r="E88" s="28" t="s">
        <v>66</v>
      </c>
      <c r="F88" s="35" t="s">
        <v>68</v>
      </c>
      <c r="G88" s="32">
        <v>9.39</v>
      </c>
      <c r="H88" s="29">
        <v>1050</v>
      </c>
      <c r="I88" s="37">
        <f t="shared" si="12"/>
        <v>9860</v>
      </c>
      <c r="J88" s="32">
        <v>0</v>
      </c>
      <c r="K88" s="37">
        <v>0</v>
      </c>
      <c r="L88" s="28">
        <f t="shared" si="13"/>
        <v>9860</v>
      </c>
    </row>
    <row r="89" spans="1:12">
      <c r="A89">
        <v>4</v>
      </c>
      <c r="B89" s="33" t="s">
        <v>69</v>
      </c>
      <c r="C89" s="29" t="s">
        <v>64</v>
      </c>
      <c r="D89" s="29" t="s">
        <v>65</v>
      </c>
      <c r="E89" s="29" t="s">
        <v>67</v>
      </c>
      <c r="F89" s="35" t="s">
        <v>68</v>
      </c>
      <c r="G89" s="32">
        <v>9.0500000000000007</v>
      </c>
      <c r="H89" s="29">
        <v>1050</v>
      </c>
      <c r="I89" s="37">
        <f t="shared" si="12"/>
        <v>9500</v>
      </c>
      <c r="J89" s="32">
        <v>0</v>
      </c>
      <c r="K89" s="37">
        <v>0</v>
      </c>
      <c r="L89" s="28">
        <f t="shared" si="13"/>
        <v>9500</v>
      </c>
    </row>
    <row r="90" spans="1:12">
      <c r="A90">
        <v>5</v>
      </c>
      <c r="B90" s="33" t="s">
        <v>69</v>
      </c>
      <c r="C90" s="29" t="s">
        <v>64</v>
      </c>
      <c r="D90" s="29" t="s">
        <v>65</v>
      </c>
      <c r="E90" s="28" t="s">
        <v>66</v>
      </c>
      <c r="F90" s="35" t="s">
        <v>68</v>
      </c>
      <c r="G90" s="32">
        <v>9.41</v>
      </c>
      <c r="H90" s="29">
        <v>1050</v>
      </c>
      <c r="I90" s="37">
        <f t="shared" si="12"/>
        <v>9880</v>
      </c>
      <c r="J90" s="32">
        <v>0</v>
      </c>
      <c r="K90" s="37">
        <v>0</v>
      </c>
      <c r="L90" s="28">
        <f t="shared" si="13"/>
        <v>9880</v>
      </c>
    </row>
    <row r="91" spans="1:12">
      <c r="A91">
        <v>6</v>
      </c>
      <c r="B91" s="33" t="s">
        <v>69</v>
      </c>
      <c r="C91" s="29" t="s">
        <v>64</v>
      </c>
      <c r="D91" s="29" t="s">
        <v>65</v>
      </c>
      <c r="E91" s="29" t="s">
        <v>67</v>
      </c>
      <c r="F91" s="35" t="s">
        <v>68</v>
      </c>
      <c r="G91" s="32">
        <v>9.36</v>
      </c>
      <c r="H91" s="29">
        <v>1050</v>
      </c>
      <c r="I91" s="37">
        <f t="shared" si="12"/>
        <v>9830</v>
      </c>
      <c r="J91" s="32">
        <v>0</v>
      </c>
      <c r="K91" s="37">
        <v>0</v>
      </c>
      <c r="L91" s="28">
        <f t="shared" si="13"/>
        <v>9830</v>
      </c>
    </row>
    <row r="92" spans="1:12">
      <c r="A92" s="24" t="s">
        <v>55</v>
      </c>
      <c r="B92" s="25"/>
      <c r="C92" s="25"/>
      <c r="D92" s="25"/>
      <c r="E92" s="25"/>
      <c r="F92" s="25"/>
      <c r="G92" s="25"/>
      <c r="H92" s="25"/>
      <c r="I92" s="25"/>
      <c r="J92" s="25"/>
      <c r="K92" s="26"/>
      <c r="L92" s="23">
        <f>SUM(L85:L87)</f>
        <v>20200</v>
      </c>
    </row>
    <row r="96" spans="1:12">
      <c r="A96" s="39" t="s">
        <v>54</v>
      </c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1"/>
    </row>
    <row r="97" spans="1:12" ht="30">
      <c r="A97" s="29" t="s">
        <v>56</v>
      </c>
      <c r="B97" s="12" t="s">
        <v>20</v>
      </c>
      <c r="C97" s="28" t="s">
        <v>0</v>
      </c>
      <c r="D97" s="28" t="s">
        <v>1</v>
      </c>
      <c r="E97" s="28" t="s">
        <v>2</v>
      </c>
      <c r="F97" s="28" t="s">
        <v>12</v>
      </c>
      <c r="G97" s="28" t="s">
        <v>3</v>
      </c>
      <c r="H97" s="28" t="s">
        <v>13</v>
      </c>
      <c r="I97" s="28" t="s">
        <v>5</v>
      </c>
      <c r="J97" s="28" t="s">
        <v>4</v>
      </c>
      <c r="K97" s="28" t="s">
        <v>63</v>
      </c>
      <c r="L97" s="28" t="s">
        <v>14</v>
      </c>
    </row>
    <row r="98" spans="1:12">
      <c r="A98" s="29">
        <v>1</v>
      </c>
      <c r="B98" s="12" t="s">
        <v>70</v>
      </c>
      <c r="C98" s="29" t="s">
        <v>64</v>
      </c>
      <c r="D98" s="29" t="s">
        <v>65</v>
      </c>
      <c r="E98" s="29" t="s">
        <v>67</v>
      </c>
      <c r="F98" s="28" t="s">
        <v>68</v>
      </c>
      <c r="G98" s="32">
        <v>9.08</v>
      </c>
      <c r="H98" s="29">
        <v>1050</v>
      </c>
      <c r="I98" s="29">
        <f t="shared" ref="I98:I99" si="14">ROUND(G98*H98,-1)</f>
        <v>9530</v>
      </c>
      <c r="J98" s="32">
        <v>500</v>
      </c>
      <c r="K98" s="29">
        <v>0</v>
      </c>
      <c r="L98" s="29">
        <f t="shared" ref="L98:L99" si="15">I98+J98</f>
        <v>10030</v>
      </c>
    </row>
    <row r="99" spans="1:12">
      <c r="A99" s="29">
        <v>2</v>
      </c>
      <c r="B99" s="12" t="s">
        <v>70</v>
      </c>
      <c r="C99" s="29" t="s">
        <v>64</v>
      </c>
      <c r="D99" s="29" t="s">
        <v>65</v>
      </c>
      <c r="E99" s="28" t="s">
        <v>66</v>
      </c>
      <c r="F99" s="28" t="s">
        <v>68</v>
      </c>
      <c r="G99" s="32">
        <v>9.41</v>
      </c>
      <c r="H99" s="29">
        <v>1050</v>
      </c>
      <c r="I99" s="29">
        <f t="shared" si="14"/>
        <v>9880</v>
      </c>
      <c r="J99" s="32">
        <v>500</v>
      </c>
      <c r="K99" s="29">
        <v>0</v>
      </c>
      <c r="L99" s="29">
        <f t="shared" si="15"/>
        <v>10380</v>
      </c>
    </row>
    <row r="100" spans="1:12">
      <c r="A100" s="31">
        <v>3</v>
      </c>
      <c r="B100" s="12" t="s">
        <v>70</v>
      </c>
      <c r="C100" s="31" t="s">
        <v>64</v>
      </c>
      <c r="D100" s="31" t="s">
        <v>65</v>
      </c>
      <c r="E100" s="30" t="s">
        <v>67</v>
      </c>
      <c r="F100" s="30" t="s">
        <v>68</v>
      </c>
      <c r="G100" s="32">
        <v>9.3699999999999992</v>
      </c>
      <c r="H100" s="31">
        <v>1050</v>
      </c>
      <c r="I100" s="31">
        <f t="shared" ref="I100" si="16">ROUND(G100*H100,-1)</f>
        <v>9840</v>
      </c>
      <c r="J100" s="32">
        <v>500</v>
      </c>
      <c r="K100" s="31">
        <v>0</v>
      </c>
      <c r="L100" s="31">
        <f t="shared" ref="L100" si="17">I100+J100</f>
        <v>10340</v>
      </c>
    </row>
    <row r="109" spans="1:12">
      <c r="G109">
        <v>273.39</v>
      </c>
    </row>
  </sheetData>
  <mergeCells count="15">
    <mergeCell ref="A96:L96"/>
    <mergeCell ref="A84:L84"/>
    <mergeCell ref="A79:K79"/>
    <mergeCell ref="A75:L75"/>
    <mergeCell ref="A19:J19"/>
    <mergeCell ref="A44:J44"/>
    <mergeCell ref="C54:J54"/>
    <mergeCell ref="A35:K35"/>
    <mergeCell ref="A49:K49"/>
    <mergeCell ref="A70:J70"/>
    <mergeCell ref="A57:K57"/>
    <mergeCell ref="A63:J63"/>
    <mergeCell ref="A67:K67"/>
    <mergeCell ref="A23:K23"/>
    <mergeCell ref="A30:J30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opLeftCell="A13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2025-11-11T06:31:26Z</dcterms:created>
  <dcterms:modified xsi:type="dcterms:W3CDTF">2025-11-17T05:14:51Z</dcterms:modified>
</cp:coreProperties>
</file>