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40" yWindow="930" windowWidth="14535" windowHeight="708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K10" i="1"/>
  <c r="J10"/>
  <c r="I10"/>
  <c r="G10"/>
  <c r="I9"/>
  <c r="K9" s="1"/>
  <c r="I8"/>
  <c r="K8" s="1"/>
  <c r="I7"/>
  <c r="K7" s="1"/>
  <c r="I6"/>
  <c r="K6" s="1"/>
  <c r="I5"/>
  <c r="K5" s="1"/>
  <c r="I4"/>
  <c r="K4" s="1"/>
  <c r="I3"/>
  <c r="K3" s="1"/>
  <c r="I2"/>
  <c r="K2" s="1"/>
</calcChain>
</file>

<file path=xl/sharedStrings.xml><?xml version="1.0" encoding="utf-8"?>
<sst xmlns="http://schemas.openxmlformats.org/spreadsheetml/2006/main" count="44" uniqueCount="20">
  <si>
    <t>VIJAY</t>
  </si>
  <si>
    <t>THOOPUR</t>
  </si>
  <si>
    <t>TN74BC7751</t>
  </si>
  <si>
    <t>ROUGH STONE</t>
  </si>
  <si>
    <t>TN74BC7752</t>
  </si>
  <si>
    <t>TOTAL</t>
  </si>
  <si>
    <t>sno</t>
  </si>
  <si>
    <t>DATE</t>
  </si>
  <si>
    <t>CUSTOMER NAME</t>
  </si>
  <si>
    <t>PLACE</t>
  </si>
  <si>
    <t>VEHICLE NO</t>
  </si>
  <si>
    <t>MATERIAL</t>
  </si>
  <si>
    <t>QTY</t>
  </si>
  <si>
    <t>RATE</t>
  </si>
  <si>
    <t>AMOUNT</t>
  </si>
  <si>
    <t>PASS</t>
  </si>
  <si>
    <t>NET AMOUNT</t>
  </si>
  <si>
    <t>TN74BH3271</t>
  </si>
  <si>
    <t>TN74BE7751</t>
  </si>
  <si>
    <t xml:space="preserve">ROUGHSTONE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</si>
</sst>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 applyAlignment="1"/>
    <xf numFmtId="0" fontId="0" fillId="0" borderId="1" xfId="0" applyBorder="1" applyAlignment="1"/>
    <xf numFmtId="0" fontId="0" fillId="0" borderId="1" xfId="0" applyFill="1" applyBorder="1" applyAlignment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>
      <selection activeCell="J13" sqref="J13"/>
    </sheetView>
  </sheetViews>
  <sheetFormatPr defaultRowHeight="15"/>
  <cols>
    <col min="2" max="2" width="10.7109375" bestFit="1" customWidth="1"/>
    <col min="3" max="3" width="10.140625" customWidth="1"/>
    <col min="4" max="4" width="9.7109375" bestFit="1" customWidth="1"/>
    <col min="5" max="5" width="11.85546875" bestFit="1" customWidth="1"/>
    <col min="6" max="6" width="13.85546875" bestFit="1" customWidth="1"/>
  </cols>
  <sheetData>
    <row r="1" spans="1:11" ht="30">
      <c r="A1" s="2" t="s">
        <v>6</v>
      </c>
      <c r="B1" s="2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</row>
    <row r="2" spans="1:11" ht="18.75" customHeight="1">
      <c r="A2" s="4">
        <v>1</v>
      </c>
      <c r="B2" s="3">
        <v>45941</v>
      </c>
      <c r="C2" s="4" t="s">
        <v>0</v>
      </c>
      <c r="D2" s="4" t="s">
        <v>1</v>
      </c>
      <c r="E2" s="4" t="s">
        <v>2</v>
      </c>
      <c r="F2" s="4" t="s">
        <v>3</v>
      </c>
      <c r="G2" s="4">
        <v>4.59</v>
      </c>
      <c r="H2" s="4">
        <v>1000</v>
      </c>
      <c r="I2" s="4">
        <f t="shared" ref="I2:I9" si="0">G2*H2</f>
        <v>4590</v>
      </c>
      <c r="J2" s="4">
        <v>400</v>
      </c>
      <c r="K2" s="4">
        <f>ROUND(I2+J2,-1)</f>
        <v>4990</v>
      </c>
    </row>
    <row r="3" spans="1:11" ht="18.75" customHeight="1">
      <c r="A3" s="4">
        <v>2</v>
      </c>
      <c r="B3" s="3">
        <v>45941</v>
      </c>
      <c r="C3" s="4" t="s">
        <v>0</v>
      </c>
      <c r="D3" s="4" t="s">
        <v>1</v>
      </c>
      <c r="E3" s="4" t="s">
        <v>4</v>
      </c>
      <c r="F3" s="4" t="s">
        <v>3</v>
      </c>
      <c r="G3" s="4">
        <v>4.0199999999999996</v>
      </c>
      <c r="H3" s="4">
        <v>1000</v>
      </c>
      <c r="I3" s="4">
        <f t="shared" si="0"/>
        <v>4019.9999999999995</v>
      </c>
      <c r="J3" s="4">
        <v>0</v>
      </c>
      <c r="K3" s="4">
        <f>ROUND(I3+J3,-1)</f>
        <v>4020</v>
      </c>
    </row>
    <row r="4" spans="1:11" ht="18.75" customHeight="1">
      <c r="A4" s="4">
        <v>3</v>
      </c>
      <c r="B4" s="3">
        <v>45972</v>
      </c>
      <c r="C4" s="4" t="s">
        <v>0</v>
      </c>
      <c r="D4" s="4" t="s">
        <v>1</v>
      </c>
      <c r="E4" s="4" t="s">
        <v>17</v>
      </c>
      <c r="F4" s="4" t="s">
        <v>3</v>
      </c>
      <c r="G4" s="4">
        <v>7.51</v>
      </c>
      <c r="H4" s="4">
        <v>1000</v>
      </c>
      <c r="I4" s="4">
        <f t="shared" si="0"/>
        <v>7510</v>
      </c>
      <c r="J4" s="4">
        <v>0</v>
      </c>
      <c r="K4" s="4">
        <f>I4+J4</f>
        <v>7510</v>
      </c>
    </row>
    <row r="5" spans="1:11" ht="18.75" customHeight="1">
      <c r="A5" s="4">
        <v>4</v>
      </c>
      <c r="B5" s="3">
        <v>45972</v>
      </c>
      <c r="C5" s="4" t="s">
        <v>0</v>
      </c>
      <c r="D5" s="4" t="s">
        <v>1</v>
      </c>
      <c r="E5" s="4" t="s">
        <v>18</v>
      </c>
      <c r="F5" s="4" t="s">
        <v>3</v>
      </c>
      <c r="G5" s="4">
        <v>3.98</v>
      </c>
      <c r="H5" s="4">
        <v>1000</v>
      </c>
      <c r="I5" s="4">
        <f t="shared" si="0"/>
        <v>3980</v>
      </c>
      <c r="J5" s="4">
        <v>0</v>
      </c>
      <c r="K5" s="4">
        <f>I5+J5</f>
        <v>3980</v>
      </c>
    </row>
    <row r="6" spans="1:11" ht="18.75" customHeight="1">
      <c r="A6" s="4">
        <v>5</v>
      </c>
      <c r="B6" s="3">
        <v>45973</v>
      </c>
      <c r="C6" s="5" t="s">
        <v>0</v>
      </c>
      <c r="D6" s="4" t="s">
        <v>1</v>
      </c>
      <c r="E6" s="4" t="s">
        <v>2</v>
      </c>
      <c r="F6" s="4" t="s">
        <v>19</v>
      </c>
      <c r="G6" s="4">
        <v>4.4000000000000004</v>
      </c>
      <c r="H6" s="4">
        <v>1000</v>
      </c>
      <c r="I6" s="4">
        <f t="shared" si="0"/>
        <v>4400</v>
      </c>
      <c r="J6" s="4">
        <v>400</v>
      </c>
      <c r="K6" s="4">
        <f>ROUND(I6+J6,-1)</f>
        <v>4800</v>
      </c>
    </row>
    <row r="7" spans="1:11" ht="18.75" customHeight="1">
      <c r="A7" s="4">
        <v>6</v>
      </c>
      <c r="B7" s="3">
        <v>45973</v>
      </c>
      <c r="C7" s="5" t="s">
        <v>0</v>
      </c>
      <c r="D7" s="4" t="s">
        <v>1</v>
      </c>
      <c r="E7" s="4" t="s">
        <v>2</v>
      </c>
      <c r="F7" s="4" t="s">
        <v>19</v>
      </c>
      <c r="G7" s="4">
        <v>4.3499999999999996</v>
      </c>
      <c r="H7" s="4">
        <v>1000</v>
      </c>
      <c r="I7" s="4">
        <f t="shared" si="0"/>
        <v>4350</v>
      </c>
      <c r="J7" s="4">
        <v>0</v>
      </c>
      <c r="K7" s="4">
        <f>ROUND(I7+J7,-1)</f>
        <v>4350</v>
      </c>
    </row>
    <row r="8" spans="1:11" ht="18.75" customHeight="1">
      <c r="A8" s="4">
        <v>7</v>
      </c>
      <c r="B8" s="3">
        <v>45973</v>
      </c>
      <c r="C8" s="5" t="s">
        <v>0</v>
      </c>
      <c r="D8" s="4" t="s">
        <v>1</v>
      </c>
      <c r="E8" s="4" t="s">
        <v>2</v>
      </c>
      <c r="F8" s="4" t="s">
        <v>19</v>
      </c>
      <c r="G8" s="4">
        <v>4.17</v>
      </c>
      <c r="H8" s="4">
        <v>1000</v>
      </c>
      <c r="I8" s="4">
        <f t="shared" si="0"/>
        <v>4170</v>
      </c>
      <c r="J8" s="4">
        <v>400</v>
      </c>
      <c r="K8" s="4">
        <f>ROUND(I8+J8,-1)</f>
        <v>4570</v>
      </c>
    </row>
    <row r="9" spans="1:11" ht="18.75" customHeight="1">
      <c r="A9" s="4">
        <v>8</v>
      </c>
      <c r="B9" s="3">
        <v>45973</v>
      </c>
      <c r="C9" s="5" t="s">
        <v>0</v>
      </c>
      <c r="D9" s="4" t="s">
        <v>1</v>
      </c>
      <c r="E9" s="4" t="s">
        <v>2</v>
      </c>
      <c r="F9" s="4" t="s">
        <v>19</v>
      </c>
      <c r="G9" s="4">
        <v>4.59</v>
      </c>
      <c r="H9" s="4">
        <v>1000</v>
      </c>
      <c r="I9" s="4">
        <f t="shared" si="0"/>
        <v>4590</v>
      </c>
      <c r="J9" s="4">
        <v>0</v>
      </c>
      <c r="K9" s="4">
        <f>ROUND(I9+J9,-1)</f>
        <v>4590</v>
      </c>
    </row>
    <row r="10" spans="1:11" ht="18.75" customHeight="1">
      <c r="A10" s="6" t="s">
        <v>5</v>
      </c>
      <c r="B10" s="7"/>
      <c r="C10" s="7"/>
      <c r="D10" s="7"/>
      <c r="E10" s="7"/>
      <c r="F10" s="7"/>
      <c r="G10" s="8">
        <f>SUM(G2:G9)</f>
        <v>37.61</v>
      </c>
      <c r="H10" s="8"/>
      <c r="I10" s="8">
        <f>SUM(I2:I9)</f>
        <v>37610</v>
      </c>
      <c r="J10" s="8">
        <f>SUM(J2:J9)</f>
        <v>1200</v>
      </c>
      <c r="K10" s="1">
        <f>SUM(K2:K9)</f>
        <v>38810</v>
      </c>
    </row>
  </sheetData>
  <mergeCells count="1">
    <mergeCell ref="A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2025-11-12T04:21:47Z</dcterms:created>
  <dcterms:modified xsi:type="dcterms:W3CDTF">2025-11-15T03:05:46Z</dcterms:modified>
</cp:coreProperties>
</file>