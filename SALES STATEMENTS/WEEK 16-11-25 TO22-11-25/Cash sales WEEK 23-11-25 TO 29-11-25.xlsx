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8" i="1"/>
  <c r="I7"/>
  <c r="K7" s="1"/>
  <c r="I6"/>
  <c r="K6" s="1"/>
  <c r="I5"/>
  <c r="K5" s="1"/>
  <c r="I3"/>
  <c r="K3"/>
</calcChain>
</file>

<file path=xl/sharedStrings.xml><?xml version="1.0" encoding="utf-8"?>
<sst xmlns="http://schemas.openxmlformats.org/spreadsheetml/2006/main" count="32" uniqueCount="25">
  <si>
    <t>ROUGH STONE</t>
  </si>
  <si>
    <t>TN74AA0171</t>
  </si>
  <si>
    <t>THOOPUR</t>
  </si>
  <si>
    <t>LINGAM</t>
  </si>
  <si>
    <t>17/11/25</t>
  </si>
  <si>
    <t>NET AMOUNT</t>
  </si>
  <si>
    <t>PASS</t>
  </si>
  <si>
    <t>AMOUNT</t>
  </si>
  <si>
    <t>RATE</t>
  </si>
  <si>
    <t>QTY</t>
  </si>
  <si>
    <t>MATERIAL</t>
  </si>
  <si>
    <t>VEHICLE NO</t>
  </si>
  <si>
    <t>PLACE</t>
  </si>
  <si>
    <t>CUSTOMER NAME</t>
  </si>
  <si>
    <t>DATE</t>
  </si>
  <si>
    <t>SNO</t>
  </si>
  <si>
    <t>CREDIT</t>
  </si>
  <si>
    <t>WASTE</t>
  </si>
  <si>
    <t>25/11/25</t>
  </si>
  <si>
    <t>T MURUGAN</t>
  </si>
  <si>
    <t>TN76D9799</t>
  </si>
  <si>
    <t>26/11/25</t>
  </si>
  <si>
    <t>SHEK</t>
  </si>
  <si>
    <t>THITTUVIZHAI</t>
  </si>
  <si>
    <t>TN74AF7096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</si>
</sst>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G14" sqref="G14"/>
    </sheetView>
  </sheetViews>
  <sheetFormatPr defaultRowHeight="15"/>
  <cols>
    <col min="3" max="3" width="11.85546875" bestFit="1" customWidth="1"/>
    <col min="4" max="4" width="10.85546875" bestFit="1" customWidth="1"/>
    <col min="5" max="5" width="12" bestFit="1" customWidth="1"/>
    <col min="6" max="6" width="13.85546875" bestFit="1" customWidth="1"/>
    <col min="7" max="7" width="8.140625" customWidth="1"/>
  </cols>
  <sheetData>
    <row r="1" spans="1:11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>
      <c r="A2" s="3" t="s">
        <v>15</v>
      </c>
      <c r="B2" s="4" t="s">
        <v>14</v>
      </c>
      <c r="C2" s="3" t="s">
        <v>13</v>
      </c>
      <c r="D2" s="3" t="s">
        <v>12</v>
      </c>
      <c r="E2" s="3" t="s">
        <v>11</v>
      </c>
      <c r="F2" s="3" t="s">
        <v>10</v>
      </c>
      <c r="G2" s="3" t="s">
        <v>9</v>
      </c>
      <c r="H2" s="3" t="s">
        <v>8</v>
      </c>
      <c r="I2" s="3" t="s">
        <v>7</v>
      </c>
      <c r="J2" s="3" t="s">
        <v>6</v>
      </c>
      <c r="K2" s="3" t="s">
        <v>5</v>
      </c>
    </row>
    <row r="3" spans="1:11" ht="16.5" customHeight="1">
      <c r="A3" s="1">
        <v>1</v>
      </c>
      <c r="B3" s="2" t="s">
        <v>4</v>
      </c>
      <c r="C3" s="1" t="s">
        <v>3</v>
      </c>
      <c r="D3" s="1" t="s">
        <v>2</v>
      </c>
      <c r="E3" s="1" t="s">
        <v>1</v>
      </c>
      <c r="F3" s="1" t="s">
        <v>0</v>
      </c>
      <c r="G3" s="1">
        <v>2.4900000000000002</v>
      </c>
      <c r="H3" s="1">
        <v>1000</v>
      </c>
      <c r="I3" s="1">
        <f>ROUND(G3*H3,-1)</f>
        <v>2490</v>
      </c>
      <c r="J3" s="1">
        <v>0</v>
      </c>
      <c r="K3" s="1">
        <f>ROUND(I3+J3,-1)</f>
        <v>2490</v>
      </c>
    </row>
    <row r="4" spans="1:11" ht="16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>
        <v>2</v>
      </c>
      <c r="B5" s="2" t="s">
        <v>18</v>
      </c>
      <c r="C5" s="1" t="s">
        <v>19</v>
      </c>
      <c r="D5" s="1" t="s">
        <v>2</v>
      </c>
      <c r="E5" s="1" t="s">
        <v>20</v>
      </c>
      <c r="F5" s="1" t="s">
        <v>17</v>
      </c>
      <c r="G5" s="1">
        <v>2.7</v>
      </c>
      <c r="H5" s="1">
        <v>300</v>
      </c>
      <c r="I5" s="1">
        <f>ROUND(G5*H5,-1)</f>
        <v>810</v>
      </c>
      <c r="J5" s="1">
        <v>0</v>
      </c>
      <c r="K5" s="1">
        <f>ROUND(I5+J5,-1)</f>
        <v>810</v>
      </c>
    </row>
    <row r="6" spans="1:11">
      <c r="A6" s="1">
        <v>3</v>
      </c>
      <c r="B6" s="2" t="s">
        <v>21</v>
      </c>
      <c r="C6" s="1" t="s">
        <v>22</v>
      </c>
      <c r="D6" s="1" t="s">
        <v>23</v>
      </c>
      <c r="E6" s="1" t="s">
        <v>24</v>
      </c>
      <c r="F6" s="1" t="s">
        <v>17</v>
      </c>
      <c r="G6" s="1">
        <v>5.67</v>
      </c>
      <c r="H6" s="1">
        <v>300</v>
      </c>
      <c r="I6" s="1">
        <f>ROUND(G6*H6,-1)</f>
        <v>1700</v>
      </c>
      <c r="J6" s="1">
        <v>0</v>
      </c>
      <c r="K6" s="1">
        <f>ROUND(I6+J6,-1)</f>
        <v>1700</v>
      </c>
    </row>
    <row r="7" spans="1:11">
      <c r="A7" s="1">
        <v>4</v>
      </c>
      <c r="B7" s="2" t="s">
        <v>21</v>
      </c>
      <c r="C7" s="1" t="s">
        <v>22</v>
      </c>
      <c r="D7" s="1" t="s">
        <v>23</v>
      </c>
      <c r="E7" s="1" t="s">
        <v>24</v>
      </c>
      <c r="F7" s="1" t="s">
        <v>17</v>
      </c>
      <c r="G7" s="1">
        <v>6.19</v>
      </c>
      <c r="H7" s="1">
        <v>300</v>
      </c>
      <c r="I7" s="1">
        <f>ROUND(G7*H7,-1)</f>
        <v>1860</v>
      </c>
      <c r="J7" s="1">
        <v>0</v>
      </c>
      <c r="K7" s="1">
        <f>ROUND(I7+J7,-1)</f>
        <v>1860</v>
      </c>
    </row>
    <row r="8" spans="1:11">
      <c r="G8">
        <f>SUM(G5:G7)</f>
        <v>14.560000000000002</v>
      </c>
    </row>
    <row r="21" ht="18" customHeight="1"/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2025-11-25T10:25:00Z</dcterms:created>
  <dcterms:modified xsi:type="dcterms:W3CDTF">2025-11-26T06:14:22Z</dcterms:modified>
</cp:coreProperties>
</file>