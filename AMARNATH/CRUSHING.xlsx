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tabRatio="829" firstSheet="1" activeTab="4"/>
  </bookViews>
  <sheets>
    <sheet name="WEEK 30-6-25 TO 5-7-25" sheetId="1" r:id="rId1"/>
    <sheet name="WEEK 6-7-25 TO 12-7-25" sheetId="2" r:id="rId2"/>
    <sheet name="WEEK 13-7-25 TO 19-7-25" sheetId="3" r:id="rId3"/>
    <sheet name="WEEK 20-7-25 TO 26-7-25" sheetId="4" r:id="rId4"/>
    <sheet name="WEEK 27-7-25 TO 2-8-25" sheetId="5" r:id="rId5"/>
  </sheets>
  <calcPr calcId="124519"/>
</workbook>
</file>

<file path=xl/calcChain.xml><?xml version="1.0" encoding="utf-8"?>
<calcChain xmlns="http://schemas.openxmlformats.org/spreadsheetml/2006/main">
  <c r="C24" i="5"/>
  <c r="E24" s="1"/>
  <c r="E25" s="1"/>
  <c r="C19"/>
  <c r="C20"/>
  <c r="E20"/>
  <c r="E19"/>
  <c r="D23"/>
  <c r="C22"/>
  <c r="C21"/>
  <c r="C18"/>
  <c r="E18" s="1"/>
  <c r="C4"/>
  <c r="E4" s="1"/>
  <c r="E5" s="1"/>
  <c r="E6" s="1"/>
  <c r="E7" s="1"/>
  <c r="E8" s="1"/>
  <c r="E9" s="1"/>
  <c r="E10" s="1"/>
  <c r="E11" s="1"/>
  <c r="E12" s="1"/>
  <c r="E13" s="1"/>
  <c r="E14" s="1"/>
  <c r="E15" s="1"/>
  <c r="E16" s="1"/>
  <c r="E17" i="4"/>
  <c r="E18" s="1"/>
  <c r="D2" i="5"/>
  <c r="C11" i="4"/>
  <c r="C10"/>
  <c r="E10" s="1"/>
  <c r="C4"/>
  <c r="E19" i="3"/>
  <c r="E20"/>
  <c r="E21" s="1"/>
  <c r="D17"/>
  <c r="E21" i="5" l="1"/>
  <c r="E22" s="1"/>
  <c r="E23" s="1"/>
  <c r="C2"/>
  <c r="E2" s="1"/>
  <c r="E11" i="4"/>
  <c r="E12" s="1"/>
  <c r="E13" s="1"/>
  <c r="E14" s="1"/>
  <c r="E15" s="1"/>
  <c r="E16" s="1"/>
  <c r="D2" l="1"/>
  <c r="E10" i="2"/>
  <c r="E11"/>
  <c r="E12" s="1"/>
  <c r="E13" s="1"/>
  <c r="E14" s="1"/>
  <c r="E15" s="1"/>
  <c r="E16" s="1"/>
  <c r="C14" i="3"/>
  <c r="C13"/>
  <c r="C12"/>
  <c r="E12" s="1"/>
  <c r="C4" i="2"/>
  <c r="E22" i="3"/>
  <c r="D2"/>
  <c r="E17" i="2"/>
  <c r="E18"/>
  <c r="E19"/>
  <c r="D23" i="3" l="1"/>
  <c r="E2"/>
  <c r="E14"/>
  <c r="E15" s="1"/>
  <c r="E16" s="1"/>
  <c r="E17" s="1"/>
  <c r="E18" s="1"/>
  <c r="E13"/>
  <c r="D23" i="1"/>
  <c r="D2" s="1"/>
  <c r="D19" s="1"/>
  <c r="D2" i="2"/>
  <c r="D21" s="1"/>
  <c r="C9"/>
  <c r="C8"/>
  <c r="C7"/>
  <c r="E20"/>
  <c r="C5" i="1"/>
  <c r="C6" l="1"/>
  <c r="C4"/>
  <c r="E4" l="1"/>
  <c r="E5" s="1"/>
  <c r="E6" s="1"/>
  <c r="E23" s="1"/>
  <c r="E7" s="1"/>
  <c r="E8" s="1"/>
  <c r="E9" s="1"/>
  <c r="E10" s="1"/>
  <c r="E11" s="1"/>
  <c r="E12" s="1"/>
  <c r="E13" s="1"/>
  <c r="E14" s="1"/>
  <c r="E15" s="1"/>
  <c r="C2"/>
  <c r="C19" l="1"/>
  <c r="E2"/>
  <c r="E19" l="1"/>
  <c r="E4" i="2" l="1"/>
  <c r="C2"/>
  <c r="E5" l="1"/>
  <c r="E6" s="1"/>
  <c r="E2"/>
  <c r="C21"/>
  <c r="E21" l="1"/>
  <c r="C4" i="3"/>
  <c r="E16" i="1"/>
  <c r="E18" s="1"/>
  <c r="E7" i="2"/>
  <c r="E8" s="1"/>
  <c r="E9" s="1"/>
  <c r="E17" i="1" l="1"/>
  <c r="C2" i="3" l="1"/>
  <c r="C23" s="1"/>
  <c r="E4"/>
  <c r="E5" s="1"/>
  <c r="E6" s="1"/>
  <c r="E7" l="1"/>
  <c r="E8" s="1"/>
  <c r="E9" s="1"/>
  <c r="E23" l="1"/>
  <c r="E4" i="4" l="1"/>
  <c r="E5" s="1"/>
  <c r="E6" s="1"/>
  <c r="E7" s="1"/>
  <c r="E8" s="1"/>
  <c r="C2"/>
  <c r="E2" l="1"/>
</calcChain>
</file>

<file path=xl/sharedStrings.xml><?xml version="1.0" encoding="utf-8"?>
<sst xmlns="http://schemas.openxmlformats.org/spreadsheetml/2006/main" count="138" uniqueCount="69">
  <si>
    <t>DATE</t>
  </si>
  <si>
    <t>DETAILS</t>
  </si>
  <si>
    <t>PAID</t>
  </si>
  <si>
    <t>WEEK 30-6-25 TO 5-7-25</t>
  </si>
  <si>
    <t>CRUSHING 4165.63</t>
  </si>
  <si>
    <t>TOTAL</t>
  </si>
  <si>
    <t>BALANCE</t>
  </si>
  <si>
    <t>CRUSHING 3067.34</t>
  </si>
  <si>
    <t>30/6/25</t>
  </si>
  <si>
    <t>CASH</t>
  </si>
  <si>
    <t xml:space="preserve">AMOUNT </t>
  </si>
  <si>
    <t>G-PAY/PARTHIPAN</t>
  </si>
  <si>
    <t>CASH/RASAK</t>
  </si>
  <si>
    <t>R.STONE LOADING 57.68*15</t>
  </si>
  <si>
    <t>WASTE LOADING 437.36*15</t>
  </si>
  <si>
    <t>7500 FREIGHT CHARGE  (121.33*270)</t>
  </si>
  <si>
    <t>R.STONE SALES 57.68*</t>
  </si>
  <si>
    <t>CASH/AMAR/MATERIAL</t>
  </si>
  <si>
    <t>0/0/25</t>
  </si>
  <si>
    <t>R.STONE LOADING 18.60*15</t>
  </si>
  <si>
    <t>7500 FREIGHT CHARGE  (459.98*270)</t>
  </si>
  <si>
    <t>R.STONE SALES 18.60*</t>
  </si>
  <si>
    <t>OLD BALANCE</t>
  </si>
  <si>
    <t>GST</t>
  </si>
  <si>
    <t>WEEK 6-7-25 TO 12-7-25</t>
  </si>
  <si>
    <t>PARTHIPAN</t>
  </si>
  <si>
    <t>WEEK 13-7-25 TO 19-7-25</t>
  </si>
  <si>
    <t>13/7/2025</t>
  </si>
  <si>
    <t>14/7/2025</t>
  </si>
  <si>
    <t>CASH/VIJAY</t>
  </si>
  <si>
    <t>CRUSHING 3577.65</t>
  </si>
  <si>
    <t>R.STONE SALES 149.99*</t>
  </si>
  <si>
    <t>14/7/25</t>
  </si>
  <si>
    <t>PARTHIPAN/GPAY</t>
  </si>
  <si>
    <t>CASH/CASH SALES</t>
  </si>
  <si>
    <t>CASH/CREDIT SALES</t>
  </si>
  <si>
    <t>ADVANCE</t>
  </si>
  <si>
    <t>17/7/25</t>
  </si>
  <si>
    <t>18/7/25</t>
  </si>
  <si>
    <t>19/7/25</t>
  </si>
  <si>
    <t>CASH/KANNAN/MATERIAL</t>
  </si>
  <si>
    <t>WASTE LOADING</t>
  </si>
  <si>
    <t>WEEK 20-7-25 TO 26-7-25</t>
  </si>
  <si>
    <t>21/7/25</t>
  </si>
  <si>
    <t>GPAY/BRUCE</t>
  </si>
  <si>
    <t>CASH/crediT SALES</t>
  </si>
  <si>
    <t xml:space="preserve">ADVANCE </t>
  </si>
  <si>
    <t>CRUSHING 3515.36.65</t>
  </si>
  <si>
    <t>R.STONE LOADING 40.34*15</t>
  </si>
  <si>
    <t>R.STONE SALES 40.34*__</t>
  </si>
  <si>
    <t>26/7/25</t>
  </si>
  <si>
    <t>KANNAN/MATERIAL</t>
  </si>
  <si>
    <t>RASAK/CASH</t>
  </si>
  <si>
    <t>RAJKUMAR/BULK</t>
  </si>
  <si>
    <t>CASH/SUGUMARAN</t>
  </si>
  <si>
    <t>BRUCE</t>
  </si>
  <si>
    <t>28/7/25</t>
  </si>
  <si>
    <t>CASH/SALES/  NARAYANAN</t>
  </si>
  <si>
    <t>WEEK 27-7-25 TO 2-8-25</t>
  </si>
  <si>
    <t>29/7/25</t>
  </si>
  <si>
    <t>30/7/25</t>
  </si>
  <si>
    <t>31/7/25</t>
  </si>
  <si>
    <t>CRUSHING 4133.24*220</t>
  </si>
  <si>
    <t>R.STONE LOADING 149.88*15</t>
  </si>
  <si>
    <t>R.STONE SALES 149.88*125</t>
  </si>
  <si>
    <t>WASTE LOADING 493.60*15</t>
  </si>
  <si>
    <t>7500 FREIGHT CHARGE  (278.75*270)</t>
  </si>
  <si>
    <r>
      <rPr>
        <b/>
        <sz val="11"/>
        <color theme="1"/>
        <rFont val="Calibri"/>
        <family val="2"/>
        <scheme val="minor"/>
      </rPr>
      <t>MISSING LOAD ON (16/7/25</t>
    </r>
    <r>
      <rPr>
        <sz val="11"/>
        <color theme="1"/>
        <rFont val="Calibri"/>
        <family val="2"/>
        <scheme val="minor"/>
      </rPr>
      <t>)   7500 FREIGHT CHARGE  (30.53*270)</t>
    </r>
  </si>
  <si>
    <t>CRUSHING 30.53*220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</si>
</sst>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0" xfId="0" applyNumberFormat="1"/>
    <xf numFmtId="0" fontId="0" fillId="0" borderId="5" xfId="0" applyFill="1" applyBorder="1"/>
    <xf numFmtId="0" fontId="0" fillId="0" borderId="1" xfId="0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2" borderId="1" xfId="0" applyNumberFormat="1" applyFill="1" applyBorder="1"/>
    <xf numFmtId="1" fontId="0" fillId="2" borderId="1" xfId="0" applyNumberForma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NumberForma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3" topLeftCell="A13" activePane="bottomLeft" state="frozen"/>
      <selection pane="bottomLeft" activeCell="A23" sqref="A23:E23"/>
    </sheetView>
  </sheetViews>
  <sheetFormatPr defaultRowHeight="15"/>
  <cols>
    <col min="2" max="2" width="23.140625" customWidth="1"/>
    <col min="3" max="3" width="11" customWidth="1"/>
    <col min="4" max="4" width="10.140625" customWidth="1"/>
    <col min="5" max="5" width="9.7109375" customWidth="1"/>
  </cols>
  <sheetData>
    <row r="1" spans="1:5" ht="18.75">
      <c r="A1" s="19" t="s">
        <v>3</v>
      </c>
      <c r="B1" s="20"/>
      <c r="C1" s="20"/>
      <c r="D1" s="20"/>
      <c r="E1" s="21"/>
    </row>
    <row r="2" spans="1:5">
      <c r="A2" s="2"/>
      <c r="B2" s="2"/>
      <c r="C2" s="2">
        <f>SUM(C4:C18)</f>
        <v>721610</v>
      </c>
      <c r="D2" s="2">
        <f>SUM(D4:D18)</f>
        <v>557430</v>
      </c>
      <c r="E2" s="2">
        <f>ABS(C2-D2)</f>
        <v>164180</v>
      </c>
    </row>
    <row r="3" spans="1:5" ht="31.5">
      <c r="A3" s="4" t="s">
        <v>0</v>
      </c>
      <c r="B3" s="4" t="s">
        <v>1</v>
      </c>
      <c r="C3" s="4" t="s">
        <v>10</v>
      </c>
      <c r="D3" s="4" t="s">
        <v>2</v>
      </c>
      <c r="E3" s="4" t="s">
        <v>6</v>
      </c>
    </row>
    <row r="4" spans="1:5">
      <c r="A4" s="1"/>
      <c r="B4" s="3" t="s">
        <v>7</v>
      </c>
      <c r="C4" s="7">
        <f>ROUND(3067.34*220,-1)</f>
        <v>674810</v>
      </c>
      <c r="D4" s="7">
        <v>0</v>
      </c>
      <c r="E4" s="5">
        <f t="shared" ref="E4" si="0">C4-D5</f>
        <v>674810</v>
      </c>
    </row>
    <row r="5" spans="1:5" ht="30">
      <c r="A5" s="1"/>
      <c r="B5" s="3" t="s">
        <v>13</v>
      </c>
      <c r="C5" s="7">
        <f>ROUND(57.68*15,-1)</f>
        <v>870</v>
      </c>
      <c r="D5" s="7">
        <v>0</v>
      </c>
      <c r="E5" s="5">
        <f>IF(AND(C5="",D5=""),"",ABS(E4+C5-D5))</f>
        <v>675680</v>
      </c>
    </row>
    <row r="6" spans="1:5" ht="30">
      <c r="A6" s="1"/>
      <c r="B6" s="10" t="s">
        <v>15</v>
      </c>
      <c r="C6" s="7">
        <f>ROUND(121.33*270,-1)</f>
        <v>32760</v>
      </c>
      <c r="D6" s="7">
        <v>0</v>
      </c>
      <c r="E6" s="5">
        <f>IF(AND(C6="",D6=""),"",ABS(E5+C6-D6))</f>
        <v>708440</v>
      </c>
    </row>
    <row r="7" spans="1:5">
      <c r="A7" s="1"/>
      <c r="B7" s="3" t="s">
        <v>16</v>
      </c>
      <c r="C7" s="8">
        <v>11100</v>
      </c>
      <c r="D7" s="7">
        <v>0</v>
      </c>
      <c r="E7" s="5">
        <f>IF(AND(C7="",D7=""),"",ABS(E23+C7-D7))</f>
        <v>712980</v>
      </c>
    </row>
    <row r="8" spans="1:5">
      <c r="A8" s="6" t="s">
        <v>8</v>
      </c>
      <c r="B8" s="3" t="s">
        <v>9</v>
      </c>
      <c r="C8" s="7">
        <v>0</v>
      </c>
      <c r="D8" s="7">
        <v>50000</v>
      </c>
      <c r="E8" s="5">
        <f t="shared" ref="E8:E15" si="1">IF(AND(C8="",D8=""),"",ABS(E7+C8-D8))</f>
        <v>662980</v>
      </c>
    </row>
    <row r="9" spans="1:5">
      <c r="A9" s="6">
        <v>45664</v>
      </c>
      <c r="B9" s="3" t="s">
        <v>9</v>
      </c>
      <c r="C9" s="7">
        <v>0</v>
      </c>
      <c r="D9" s="7">
        <v>50000</v>
      </c>
      <c r="E9" s="5">
        <f t="shared" si="1"/>
        <v>612980</v>
      </c>
    </row>
    <row r="10" spans="1:5">
      <c r="A10" s="6">
        <v>45664</v>
      </c>
      <c r="B10" s="3" t="s">
        <v>9</v>
      </c>
      <c r="C10" s="7">
        <v>0</v>
      </c>
      <c r="D10" s="7">
        <v>10000</v>
      </c>
      <c r="E10" s="5">
        <f t="shared" si="1"/>
        <v>602980</v>
      </c>
    </row>
    <row r="11" spans="1:5">
      <c r="A11" s="6">
        <v>45695</v>
      </c>
      <c r="B11" s="1" t="s">
        <v>11</v>
      </c>
      <c r="C11" s="7">
        <v>0</v>
      </c>
      <c r="D11" s="7">
        <v>100000</v>
      </c>
      <c r="E11" s="5">
        <f t="shared" si="1"/>
        <v>502980</v>
      </c>
    </row>
    <row r="12" spans="1:5">
      <c r="A12" s="6">
        <v>45695</v>
      </c>
      <c r="B12" s="1" t="s">
        <v>9</v>
      </c>
      <c r="C12" s="7">
        <v>0</v>
      </c>
      <c r="D12" s="7">
        <v>50000</v>
      </c>
      <c r="E12" s="5">
        <f t="shared" si="1"/>
        <v>452980</v>
      </c>
    </row>
    <row r="13" spans="1:5">
      <c r="A13" s="6">
        <v>45754</v>
      </c>
      <c r="B13" s="1" t="s">
        <v>9</v>
      </c>
      <c r="C13" s="1">
        <v>0</v>
      </c>
      <c r="D13" s="1">
        <v>28280</v>
      </c>
      <c r="E13" s="5">
        <f t="shared" si="1"/>
        <v>424700</v>
      </c>
    </row>
    <row r="14" spans="1:5">
      <c r="A14" s="6">
        <v>45784</v>
      </c>
      <c r="B14" s="1" t="s">
        <v>12</v>
      </c>
      <c r="C14" s="9">
        <v>0</v>
      </c>
      <c r="D14" s="1">
        <v>18800</v>
      </c>
      <c r="E14" s="5">
        <f t="shared" si="1"/>
        <v>405900</v>
      </c>
    </row>
    <row r="15" spans="1:5">
      <c r="A15" s="6">
        <v>45784</v>
      </c>
      <c r="B15" s="1" t="s">
        <v>9</v>
      </c>
      <c r="C15" s="1">
        <v>0</v>
      </c>
      <c r="D15" s="1">
        <v>50350</v>
      </c>
      <c r="E15" s="5">
        <f t="shared" si="1"/>
        <v>355550</v>
      </c>
    </row>
    <row r="16" spans="1:5">
      <c r="A16" s="1" t="s">
        <v>18</v>
      </c>
      <c r="B16" s="3"/>
      <c r="C16" s="7"/>
      <c r="D16" s="7">
        <v>50000</v>
      </c>
      <c r="E16" s="5">
        <f>IF(AND(C16="",D16=""),"",ABS('WEEK 6-7-25 TO 12-7-25'!E6+C16-D16))</f>
        <v>41530</v>
      </c>
    </row>
    <row r="17" spans="1:5">
      <c r="A17" s="1"/>
      <c r="B17" s="3" t="s">
        <v>23</v>
      </c>
      <c r="C17" s="7">
        <v>2070</v>
      </c>
      <c r="D17" s="7"/>
      <c r="E17" s="5">
        <f>IF(AND(C17="",D17=""),"",ABS(E16+C17-D17))</f>
        <v>43600</v>
      </c>
    </row>
    <row r="18" spans="1:5">
      <c r="A18" s="1"/>
      <c r="B18" s="3"/>
      <c r="C18" s="7"/>
      <c r="D18" s="7">
        <v>150000</v>
      </c>
      <c r="E18" s="5">
        <f>IF(AND(C18="",D18=""),"",ABS(E16+C18-D18))</f>
        <v>108470</v>
      </c>
    </row>
    <row r="19" spans="1:5">
      <c r="A19" s="22" t="s">
        <v>5</v>
      </c>
      <c r="B19" s="23"/>
      <c r="C19" s="7">
        <f>C2</f>
        <v>721610</v>
      </c>
      <c r="D19" s="7">
        <f>D2</f>
        <v>557430</v>
      </c>
      <c r="E19" s="5">
        <f>E2</f>
        <v>164180</v>
      </c>
    </row>
    <row r="23" spans="1:5" ht="30">
      <c r="A23" s="1"/>
      <c r="B23" s="3" t="s">
        <v>14</v>
      </c>
      <c r="C23" s="1">
        <v>0</v>
      </c>
      <c r="D23" s="7">
        <f>ROUND(437.36*15,-1)</f>
        <v>6560</v>
      </c>
      <c r="E23" s="5">
        <f>IF(AND(C23="",D23=""),"",ABS(E6+C23-D23))</f>
        <v>701880</v>
      </c>
    </row>
  </sheetData>
  <mergeCells count="2">
    <mergeCell ref="A1:E1"/>
    <mergeCell ref="A19:B1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F15" sqref="F15"/>
    </sheetView>
  </sheetViews>
  <sheetFormatPr defaultRowHeight="15"/>
  <cols>
    <col min="1" max="1" width="9.7109375" bestFit="1" customWidth="1"/>
    <col min="2" max="2" width="23.140625" customWidth="1"/>
    <col min="3" max="3" width="11" customWidth="1"/>
    <col min="4" max="4" width="10.140625" customWidth="1"/>
    <col min="5" max="5" width="9.7109375" customWidth="1"/>
  </cols>
  <sheetData>
    <row r="1" spans="1:5" ht="18.75">
      <c r="A1" s="19" t="s">
        <v>24</v>
      </c>
      <c r="B1" s="20"/>
      <c r="C1" s="20"/>
      <c r="D1" s="20"/>
      <c r="E1" s="21"/>
    </row>
    <row r="2" spans="1:5">
      <c r="A2" s="2"/>
      <c r="B2" s="2"/>
      <c r="C2" s="2">
        <f>SUM(C4:C20)</f>
        <v>1213070</v>
      </c>
      <c r="D2" s="2">
        <f>SUM(D4:D20)</f>
        <v>740710</v>
      </c>
      <c r="E2" s="2">
        <f>ABS(C2-D2)</f>
        <v>472360</v>
      </c>
    </row>
    <row r="3" spans="1:5" ht="31.5">
      <c r="A3" s="4" t="s">
        <v>0</v>
      </c>
      <c r="B3" s="4" t="s">
        <v>1</v>
      </c>
      <c r="C3" s="4" t="s">
        <v>10</v>
      </c>
      <c r="D3" s="4" t="s">
        <v>2</v>
      </c>
      <c r="E3" s="4" t="s">
        <v>6</v>
      </c>
    </row>
    <row r="4" spans="1:5" ht="15.75">
      <c r="A4" s="11"/>
      <c r="B4" s="11" t="s">
        <v>22</v>
      </c>
      <c r="C4" s="11">
        <f>'WEEK 30-6-25 TO 5-7-25'!E2</f>
        <v>164180</v>
      </c>
      <c r="D4" s="11">
        <v>0</v>
      </c>
      <c r="E4" s="5">
        <f>C4-D4</f>
        <v>164180</v>
      </c>
    </row>
    <row r="5" spans="1:5">
      <c r="A5" s="6">
        <v>45815</v>
      </c>
      <c r="B5" s="3" t="s">
        <v>9</v>
      </c>
      <c r="C5" s="7">
        <v>0</v>
      </c>
      <c r="D5" s="7">
        <v>100000</v>
      </c>
      <c r="E5" s="5">
        <f>IF(AND(C5="",D5=""),"",ABS(E4+C5-D5))</f>
        <v>64180</v>
      </c>
    </row>
    <row r="6" spans="1:5">
      <c r="A6" s="6">
        <v>45815</v>
      </c>
      <c r="B6" s="3" t="s">
        <v>17</v>
      </c>
      <c r="C6" s="7">
        <v>0</v>
      </c>
      <c r="D6" s="7">
        <v>55710</v>
      </c>
      <c r="E6" s="5">
        <f>IF(AND(C6="",D6=""),"",ABS(E5+C6-D6))</f>
        <v>8470</v>
      </c>
    </row>
    <row r="7" spans="1:5">
      <c r="A7" s="1"/>
      <c r="B7" s="3" t="s">
        <v>4</v>
      </c>
      <c r="C7" s="7">
        <f>ROUND(4165.63*220,-1)</f>
        <v>916440</v>
      </c>
      <c r="D7" s="7">
        <v>0</v>
      </c>
      <c r="E7" s="5">
        <f>IF(AND(C7="",D7=""),"",ABS(E6+C7-D7))</f>
        <v>924910</v>
      </c>
    </row>
    <row r="8" spans="1:5" ht="30">
      <c r="A8" s="1"/>
      <c r="B8" s="3" t="s">
        <v>19</v>
      </c>
      <c r="C8" s="7">
        <f>ROUND(18.6*15,-1)</f>
        <v>280</v>
      </c>
      <c r="D8" s="7">
        <v>0</v>
      </c>
      <c r="E8" s="5">
        <f>IF(AND(C8="",D8=""),"",ABS(E7+C8-D8))</f>
        <v>925190</v>
      </c>
    </row>
    <row r="9" spans="1:5" ht="30">
      <c r="A9" s="1"/>
      <c r="B9" s="10" t="s">
        <v>20</v>
      </c>
      <c r="C9" s="7">
        <f>ROUND(459.98*270,-1)</f>
        <v>124190</v>
      </c>
      <c r="D9" s="7">
        <v>0</v>
      </c>
      <c r="E9" s="5">
        <f t="shared" ref="E9:E20" si="0">IF(AND(C9="",D9=""),"",ABS(E8+C9-D9))</f>
        <v>1049380</v>
      </c>
    </row>
    <row r="10" spans="1:5">
      <c r="A10" s="1"/>
      <c r="B10" s="3" t="s">
        <v>21</v>
      </c>
      <c r="C10" s="8">
        <v>3580</v>
      </c>
      <c r="D10" s="7">
        <v>0</v>
      </c>
      <c r="E10" s="5">
        <f t="shared" si="0"/>
        <v>1052960</v>
      </c>
    </row>
    <row r="11" spans="1:5">
      <c r="A11" s="6">
        <v>45968</v>
      </c>
      <c r="B11" s="3" t="s">
        <v>25</v>
      </c>
      <c r="C11" s="7">
        <v>0</v>
      </c>
      <c r="D11" s="7">
        <v>150000</v>
      </c>
      <c r="E11" s="5">
        <f t="shared" si="0"/>
        <v>902960</v>
      </c>
    </row>
    <row r="12" spans="1:5">
      <c r="A12" s="6">
        <v>45998</v>
      </c>
      <c r="B12" s="1" t="s">
        <v>25</v>
      </c>
      <c r="C12" s="7">
        <v>0</v>
      </c>
      <c r="D12" s="7">
        <v>400000</v>
      </c>
      <c r="E12" s="5">
        <f t="shared" si="0"/>
        <v>502960</v>
      </c>
    </row>
    <row r="13" spans="1:5">
      <c r="A13" s="6"/>
      <c r="B13" s="1"/>
      <c r="C13" s="7">
        <v>0</v>
      </c>
      <c r="D13" s="7">
        <v>0</v>
      </c>
      <c r="E13" s="5">
        <f t="shared" si="0"/>
        <v>502960</v>
      </c>
    </row>
    <row r="14" spans="1:5">
      <c r="A14" s="6"/>
      <c r="B14" s="1"/>
      <c r="C14" s="1">
        <v>0</v>
      </c>
      <c r="D14" s="1">
        <v>0</v>
      </c>
      <c r="E14" s="5">
        <f t="shared" si="0"/>
        <v>502960</v>
      </c>
    </row>
    <row r="15" spans="1:5">
      <c r="A15" s="6"/>
      <c r="B15" s="1"/>
      <c r="C15" s="9">
        <v>0</v>
      </c>
      <c r="D15" s="1">
        <v>35000</v>
      </c>
      <c r="E15" s="5">
        <f t="shared" si="0"/>
        <v>467960</v>
      </c>
    </row>
    <row r="16" spans="1:5">
      <c r="A16" s="6"/>
      <c r="B16" s="1" t="s">
        <v>23</v>
      </c>
      <c r="C16" s="1">
        <v>4400</v>
      </c>
      <c r="D16" s="1">
        <v>0</v>
      </c>
      <c r="E16" s="5">
        <f t="shared" si="0"/>
        <v>472360</v>
      </c>
    </row>
    <row r="17" spans="1:5">
      <c r="A17" s="6"/>
      <c r="B17" s="3"/>
      <c r="C17" s="7"/>
      <c r="D17" s="7"/>
      <c r="E17" s="5" t="str">
        <f t="shared" si="0"/>
        <v/>
      </c>
    </row>
    <row r="18" spans="1:5">
      <c r="A18" s="6"/>
      <c r="B18" s="3"/>
      <c r="C18" s="7"/>
      <c r="D18" s="7"/>
      <c r="E18" s="5" t="str">
        <f t="shared" si="0"/>
        <v/>
      </c>
    </row>
    <row r="19" spans="1:5">
      <c r="A19" s="1"/>
      <c r="B19" s="3"/>
      <c r="C19" s="7"/>
      <c r="D19" s="7"/>
      <c r="E19" s="5" t="str">
        <f t="shared" si="0"/>
        <v/>
      </c>
    </row>
    <row r="20" spans="1:5">
      <c r="A20" s="1"/>
      <c r="B20" s="3"/>
      <c r="C20" s="7"/>
      <c r="D20" s="7"/>
      <c r="E20" s="5" t="str">
        <f t="shared" si="0"/>
        <v/>
      </c>
    </row>
    <row r="21" spans="1:5">
      <c r="A21" s="24" t="s">
        <v>5</v>
      </c>
      <c r="B21" s="25"/>
      <c r="C21" s="12">
        <f>C2</f>
        <v>1213070</v>
      </c>
      <c r="D21" s="12">
        <f>D2</f>
        <v>740710</v>
      </c>
      <c r="E21" s="13">
        <f>E2</f>
        <v>472360</v>
      </c>
    </row>
  </sheetData>
  <mergeCells count="2">
    <mergeCell ref="A1:E1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topLeftCell="A4" workbookViewId="0">
      <selection activeCell="A14" sqref="A14:E14"/>
    </sheetView>
  </sheetViews>
  <sheetFormatPr defaultRowHeight="15"/>
  <cols>
    <col min="1" max="1" width="9.7109375" bestFit="1" customWidth="1"/>
    <col min="2" max="2" width="24" customWidth="1"/>
  </cols>
  <sheetData>
    <row r="1" spans="1:5" ht="18.75">
      <c r="A1" s="19" t="s">
        <v>26</v>
      </c>
      <c r="B1" s="20"/>
      <c r="C1" s="20"/>
      <c r="D1" s="20"/>
      <c r="E1" s="21"/>
    </row>
    <row r="2" spans="1:5">
      <c r="A2" s="2"/>
      <c r="B2" s="2"/>
      <c r="C2" s="2">
        <f>SUM(C4:C22)</f>
        <v>1398990</v>
      </c>
      <c r="D2" s="2">
        <f>SUM(D4:D22)</f>
        <v>1147470</v>
      </c>
      <c r="E2" s="2">
        <f>ABS(C2-D2)</f>
        <v>251520</v>
      </c>
    </row>
    <row r="3" spans="1:5" ht="31.5">
      <c r="A3" s="4" t="s">
        <v>0</v>
      </c>
      <c r="B3" s="4" t="s">
        <v>1</v>
      </c>
      <c r="C3" s="4" t="s">
        <v>10</v>
      </c>
      <c r="D3" s="4" t="s">
        <v>2</v>
      </c>
      <c r="E3" s="4" t="s">
        <v>6</v>
      </c>
    </row>
    <row r="4" spans="1:5" ht="26.25" customHeight="1">
      <c r="A4" s="11"/>
      <c r="B4" s="11" t="s">
        <v>22</v>
      </c>
      <c r="C4" s="11">
        <f>'WEEK 6-7-25 TO 12-7-25'!E2</f>
        <v>472360</v>
      </c>
      <c r="D4" s="11">
        <v>0</v>
      </c>
      <c r="E4" s="5">
        <f>C4-D4</f>
        <v>472360</v>
      </c>
    </row>
    <row r="5" spans="1:5">
      <c r="A5" s="6" t="s">
        <v>27</v>
      </c>
      <c r="B5" s="3" t="s">
        <v>17</v>
      </c>
      <c r="C5" s="7">
        <v>0</v>
      </c>
      <c r="D5" s="7">
        <v>51740</v>
      </c>
      <c r="E5" s="5">
        <f>IF(AND(C5="",D5=""),"",ABS(E4+C5-D5))</f>
        <v>420620</v>
      </c>
    </row>
    <row r="6" spans="1:5">
      <c r="A6" s="6" t="s">
        <v>28</v>
      </c>
      <c r="B6" s="14" t="s">
        <v>29</v>
      </c>
      <c r="C6" s="7">
        <v>0</v>
      </c>
      <c r="D6" s="7">
        <v>23700</v>
      </c>
      <c r="E6" s="5">
        <f>IF(AND(C6="",D6=""),"",ABS(E5+C6-D6))</f>
        <v>396920</v>
      </c>
    </row>
    <row r="7" spans="1:5">
      <c r="A7" s="6" t="s">
        <v>32</v>
      </c>
      <c r="B7" s="14" t="s">
        <v>33</v>
      </c>
      <c r="C7" s="7">
        <v>0</v>
      </c>
      <c r="D7" s="7">
        <v>300000</v>
      </c>
      <c r="E7" s="5">
        <f>IF(AND(C7="",D7=""),"",ABS(E6+C7-D7))</f>
        <v>96920</v>
      </c>
    </row>
    <row r="8" spans="1:5">
      <c r="A8" s="6" t="s">
        <v>32</v>
      </c>
      <c r="B8" s="14" t="s">
        <v>35</v>
      </c>
      <c r="C8" s="7">
        <v>0</v>
      </c>
      <c r="D8" s="7">
        <v>60000</v>
      </c>
      <c r="E8" s="5">
        <f t="shared" ref="E8:E9" si="0">IF(AND(C8="",D8=""),"",ABS(E7+C8-D8))</f>
        <v>36920</v>
      </c>
    </row>
    <row r="9" spans="1:5">
      <c r="A9" s="6" t="s">
        <v>32</v>
      </c>
      <c r="B9" s="14" t="s">
        <v>34</v>
      </c>
      <c r="C9" s="7">
        <v>0</v>
      </c>
      <c r="D9" s="7">
        <v>40000</v>
      </c>
      <c r="E9" s="5">
        <f t="shared" si="0"/>
        <v>3080</v>
      </c>
    </row>
    <row r="10" spans="1:5">
      <c r="A10" s="33"/>
      <c r="B10" s="34" t="s">
        <v>36</v>
      </c>
      <c r="C10" s="35">
        <v>0</v>
      </c>
      <c r="D10" s="35">
        <v>3080</v>
      </c>
      <c r="E10" s="32">
        <v>0</v>
      </c>
    </row>
    <row r="11" spans="1:5">
      <c r="A11" s="6"/>
      <c r="B11" s="14"/>
      <c r="C11" s="7"/>
      <c r="D11" s="7"/>
      <c r="E11" s="5">
        <v>0</v>
      </c>
    </row>
    <row r="12" spans="1:5" ht="21.75" customHeight="1">
      <c r="A12" s="1"/>
      <c r="B12" s="14" t="s">
        <v>30</v>
      </c>
      <c r="C12" s="7">
        <f>ROUND(3577.65*220,-1)</f>
        <v>787080</v>
      </c>
      <c r="D12" s="7">
        <v>0</v>
      </c>
      <c r="E12" s="5">
        <f>IF(AND(C12="",D12=""),"",ABS(E11+C12-D12))</f>
        <v>787080</v>
      </c>
    </row>
    <row r="13" spans="1:5" ht="30">
      <c r="A13" s="1"/>
      <c r="B13" s="14" t="s">
        <v>19</v>
      </c>
      <c r="C13" s="7">
        <f>ROUND(149.99*15,-1)</f>
        <v>2250</v>
      </c>
      <c r="D13" s="7">
        <v>0</v>
      </c>
      <c r="E13" s="5">
        <f>IF(AND(C13="",D13=""),"",ABS(E12+C13-D13))</f>
        <v>789330</v>
      </c>
    </row>
    <row r="14" spans="1:5" ht="30">
      <c r="A14" s="1"/>
      <c r="B14" s="14" t="s">
        <v>20</v>
      </c>
      <c r="C14" s="7">
        <f>ROUND(401.59*270,-1)</f>
        <v>108430</v>
      </c>
      <c r="D14" s="7">
        <v>0</v>
      </c>
      <c r="E14" s="5">
        <f t="shared" ref="E14:E21" si="1">IF(AND(C14="",D14=""),"",ABS(E13+C14-D14))</f>
        <v>897760</v>
      </c>
    </row>
    <row r="15" spans="1:5">
      <c r="A15" s="1"/>
      <c r="B15" s="14" t="s">
        <v>31</v>
      </c>
      <c r="C15" s="8">
        <v>28870</v>
      </c>
      <c r="D15" s="7">
        <v>0</v>
      </c>
      <c r="E15" s="5">
        <f t="shared" si="1"/>
        <v>926630</v>
      </c>
    </row>
    <row r="16" spans="1:5">
      <c r="A16" s="1"/>
      <c r="B16" s="14" t="s">
        <v>41</v>
      </c>
      <c r="C16" s="7">
        <v>0</v>
      </c>
      <c r="D16" s="7">
        <v>840</v>
      </c>
      <c r="E16" s="5">
        <f t="shared" si="1"/>
        <v>925790</v>
      </c>
    </row>
    <row r="17" spans="1:5">
      <c r="A17" s="15" t="s">
        <v>39</v>
      </c>
      <c r="B17" s="1" t="s">
        <v>40</v>
      </c>
      <c r="C17">
        <v>0</v>
      </c>
      <c r="D17" s="1">
        <f>344070-750</f>
        <v>343320</v>
      </c>
      <c r="E17" s="5">
        <f t="shared" si="1"/>
        <v>582470</v>
      </c>
    </row>
    <row r="18" spans="1:5">
      <c r="A18" s="15" t="s">
        <v>37</v>
      </c>
      <c r="B18" s="1" t="s">
        <v>9</v>
      </c>
      <c r="C18" s="1">
        <v>0</v>
      </c>
      <c r="D18" s="1">
        <v>16060</v>
      </c>
      <c r="E18" s="5">
        <f t="shared" si="1"/>
        <v>566410</v>
      </c>
    </row>
    <row r="19" spans="1:5">
      <c r="A19" s="15" t="s">
        <v>38</v>
      </c>
      <c r="B19" s="1" t="s">
        <v>9</v>
      </c>
      <c r="C19" s="1">
        <v>0</v>
      </c>
      <c r="D19" s="1">
        <v>8730</v>
      </c>
      <c r="E19" s="5">
        <f t="shared" si="1"/>
        <v>557680</v>
      </c>
    </row>
    <row r="20" spans="1:5">
      <c r="A20" s="15" t="s">
        <v>39</v>
      </c>
      <c r="B20" s="1" t="s">
        <v>9</v>
      </c>
      <c r="C20" s="1">
        <v>0</v>
      </c>
      <c r="D20" s="1">
        <v>50000</v>
      </c>
      <c r="E20" s="5">
        <f t="shared" si="1"/>
        <v>507680</v>
      </c>
    </row>
    <row r="21" spans="1:5">
      <c r="A21" s="15" t="s">
        <v>39</v>
      </c>
      <c r="B21" s="1" t="s">
        <v>44</v>
      </c>
      <c r="C21" s="1">
        <v>0</v>
      </c>
      <c r="D21" s="1">
        <v>250000</v>
      </c>
      <c r="E21" s="5">
        <f t="shared" si="1"/>
        <v>257680</v>
      </c>
    </row>
    <row r="22" spans="1:5">
      <c r="A22" s="1"/>
      <c r="B22" s="3"/>
      <c r="C22" s="7"/>
      <c r="D22" s="7"/>
      <c r="E22" s="5" t="str">
        <f>IF(AND(C22="",D22=""),"",ABS(#REF!+C22-D22))</f>
        <v/>
      </c>
    </row>
    <row r="23" spans="1:5">
      <c r="A23" s="24" t="s">
        <v>5</v>
      </c>
      <c r="B23" s="25"/>
      <c r="C23" s="12">
        <f>C2</f>
        <v>1398990</v>
      </c>
      <c r="D23" s="12">
        <f>D2</f>
        <v>1147470</v>
      </c>
      <c r="E23" s="13">
        <f>E2</f>
        <v>251520</v>
      </c>
    </row>
  </sheetData>
  <mergeCells count="2">
    <mergeCell ref="A1:E1"/>
    <mergeCell ref="A23:B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topLeftCell="A4" workbookViewId="0">
      <selection activeCell="A10" sqref="A10:E13"/>
    </sheetView>
  </sheetViews>
  <sheetFormatPr defaultRowHeight="15"/>
  <cols>
    <col min="2" max="2" width="21.5703125" customWidth="1"/>
  </cols>
  <sheetData>
    <row r="1" spans="1:5" ht="18.75">
      <c r="A1" s="19" t="s">
        <v>42</v>
      </c>
      <c r="B1" s="20"/>
      <c r="C1" s="20"/>
      <c r="D1" s="20"/>
      <c r="E1" s="21"/>
    </row>
    <row r="2" spans="1:5">
      <c r="A2" s="2"/>
      <c r="B2" s="2"/>
      <c r="C2" s="2">
        <f>SUM(C4:C18)</f>
        <v>1038730</v>
      </c>
      <c r="D2" s="2">
        <f>SUM(D4:D18)</f>
        <v>458190</v>
      </c>
      <c r="E2" s="2">
        <f>ABS(C2-D2)</f>
        <v>580540</v>
      </c>
    </row>
    <row r="3" spans="1:5" ht="31.5">
      <c r="A3" s="4" t="s">
        <v>0</v>
      </c>
      <c r="B3" s="4" t="s">
        <v>1</v>
      </c>
      <c r="C3" s="4" t="s">
        <v>10</v>
      </c>
      <c r="D3" s="4" t="s">
        <v>2</v>
      </c>
      <c r="E3" s="4" t="s">
        <v>6</v>
      </c>
    </row>
    <row r="4" spans="1:5" ht="15.75">
      <c r="A4" s="11"/>
      <c r="B4" s="16" t="s">
        <v>22</v>
      </c>
      <c r="C4" s="26">
        <f>'WEEK 13-7-25 TO 19-7-25'!E21</f>
        <v>257680</v>
      </c>
      <c r="D4" s="11">
        <v>0</v>
      </c>
      <c r="E4" s="5">
        <f>C4-D4</f>
        <v>257680</v>
      </c>
    </row>
    <row r="5" spans="1:5" ht="15.75">
      <c r="A5" s="17" t="s">
        <v>43</v>
      </c>
      <c r="B5" s="18" t="s">
        <v>44</v>
      </c>
      <c r="C5" s="17">
        <v>0</v>
      </c>
      <c r="D5" s="17">
        <v>57720</v>
      </c>
      <c r="E5" s="5">
        <f>IF(AND(C5="",D5=""),"",ABS(E4+C5-D5))</f>
        <v>199960</v>
      </c>
    </row>
    <row r="6" spans="1:5" ht="15.75">
      <c r="A6" s="17" t="s">
        <v>43</v>
      </c>
      <c r="B6" s="18" t="s">
        <v>45</v>
      </c>
      <c r="C6" s="17">
        <v>0</v>
      </c>
      <c r="D6" s="17">
        <v>145200</v>
      </c>
      <c r="E6" s="5">
        <f>IF(AND(C6="",D6=""),"",ABS(E5+C6-D6))</f>
        <v>54760</v>
      </c>
    </row>
    <row r="7" spans="1:5" ht="15.75">
      <c r="A7" s="17" t="s">
        <v>43</v>
      </c>
      <c r="B7" s="18" t="s">
        <v>34</v>
      </c>
      <c r="C7" s="17">
        <v>0</v>
      </c>
      <c r="D7" s="17">
        <v>54800</v>
      </c>
      <c r="E7" s="5">
        <f>IF(AND(C7="",D7=""),"",ABS(E6+C7-D7))</f>
        <v>40</v>
      </c>
    </row>
    <row r="8" spans="1:5" ht="15.75">
      <c r="A8" s="30"/>
      <c r="B8" s="31" t="s">
        <v>46</v>
      </c>
      <c r="C8" s="30">
        <v>0</v>
      </c>
      <c r="D8" s="30">
        <v>0</v>
      </c>
      <c r="E8" s="32">
        <f>IF(AND(C8="",D8=""),"",ABS(E7+C8-D8))</f>
        <v>40</v>
      </c>
    </row>
    <row r="9" spans="1:5" ht="15.75">
      <c r="A9" s="17"/>
      <c r="B9" s="18"/>
      <c r="C9" s="17"/>
      <c r="D9" s="17">
        <v>0</v>
      </c>
      <c r="E9" s="5">
        <v>0</v>
      </c>
    </row>
    <row r="10" spans="1:5" ht="21.75" customHeight="1">
      <c r="A10" s="1"/>
      <c r="B10" s="14" t="s">
        <v>47</v>
      </c>
      <c r="C10" s="7">
        <f>ROUND(3515.36*220,-1)</f>
        <v>773380</v>
      </c>
      <c r="D10" s="7">
        <v>0</v>
      </c>
      <c r="E10" s="5">
        <f>IF(AND(C10="",D10=""),"",ABS(E9+C10-D10))</f>
        <v>773380</v>
      </c>
    </row>
    <row r="11" spans="1:5" ht="30">
      <c r="A11" s="1"/>
      <c r="B11" s="14" t="s">
        <v>48</v>
      </c>
      <c r="C11" s="7">
        <f>ROUND(40.34*15,-1)</f>
        <v>610</v>
      </c>
      <c r="D11" s="7">
        <v>0</v>
      </c>
      <c r="E11" s="5">
        <f>IF(AND(C11="",D11=""),"",ABS(E10+C11-D11))</f>
        <v>773990</v>
      </c>
    </row>
    <row r="12" spans="1:5" ht="30">
      <c r="A12" s="1"/>
      <c r="B12" s="14" t="s">
        <v>49</v>
      </c>
      <c r="C12" s="8">
        <v>7060</v>
      </c>
      <c r="D12" s="7">
        <v>0</v>
      </c>
      <c r="E12" s="5">
        <f>IF(AND(C12="",D12=""),"",ABS(E11+C12-D12))</f>
        <v>781050</v>
      </c>
    </row>
    <row r="13" spans="1:5">
      <c r="A13" s="1"/>
      <c r="B13" s="14" t="s">
        <v>41</v>
      </c>
      <c r="C13" s="7">
        <v>0</v>
      </c>
      <c r="D13" s="7">
        <v>4400</v>
      </c>
      <c r="E13" s="5">
        <f>IF(AND(C13="",D13=""),"",ABS(E12+C13-D13))</f>
        <v>776650</v>
      </c>
    </row>
    <row r="14" spans="1:5">
      <c r="A14" s="1" t="s">
        <v>39</v>
      </c>
      <c r="B14" s="14" t="s">
        <v>52</v>
      </c>
      <c r="C14" s="7">
        <v>0</v>
      </c>
      <c r="D14" s="7">
        <v>21500</v>
      </c>
      <c r="E14" s="5">
        <f>IF(AND(C14="",D14=""),"",ABS(E13+C14-D14))</f>
        <v>755150</v>
      </c>
    </row>
    <row r="15" spans="1:5">
      <c r="A15" s="1" t="s">
        <v>50</v>
      </c>
      <c r="B15" s="14" t="s">
        <v>53</v>
      </c>
      <c r="C15" s="7">
        <v>0</v>
      </c>
      <c r="D15" s="7">
        <v>5000</v>
      </c>
      <c r="E15" s="5">
        <f>IF(AND(C15="",D15=""),"",ABS(E14+C15-D15))</f>
        <v>750150</v>
      </c>
    </row>
    <row r="16" spans="1:5">
      <c r="A16" s="1" t="s">
        <v>50</v>
      </c>
      <c r="B16" s="14" t="s">
        <v>54</v>
      </c>
      <c r="C16" s="7">
        <v>0</v>
      </c>
      <c r="D16" s="7">
        <v>14810</v>
      </c>
      <c r="E16" s="5">
        <f>IF(AND(C16="",D16=""),"",ABS(E15+C16-D16))</f>
        <v>735340</v>
      </c>
    </row>
    <row r="17" spans="1:5">
      <c r="A17" s="1" t="s">
        <v>50</v>
      </c>
      <c r="B17" s="3" t="s">
        <v>51</v>
      </c>
      <c r="C17" s="7">
        <v>0</v>
      </c>
      <c r="D17" s="7">
        <v>54760</v>
      </c>
      <c r="E17" s="5">
        <f t="shared" ref="E17:E18" si="0">IF(AND(C17="",D17=""),"",ABS(E16+C17-D17))</f>
        <v>680580</v>
      </c>
    </row>
    <row r="18" spans="1:5">
      <c r="A18" s="1" t="s">
        <v>50</v>
      </c>
      <c r="B18" s="3" t="s">
        <v>55</v>
      </c>
      <c r="C18" s="7">
        <v>0</v>
      </c>
      <c r="D18" s="7">
        <v>100000</v>
      </c>
      <c r="E18" s="5">
        <f t="shared" si="0"/>
        <v>580580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tabSelected="1" topLeftCell="A19" workbookViewId="0">
      <selection activeCell="A25" sqref="A25"/>
    </sheetView>
  </sheetViews>
  <sheetFormatPr defaultRowHeight="15"/>
  <cols>
    <col min="2" max="2" width="20.140625" customWidth="1"/>
  </cols>
  <sheetData>
    <row r="1" spans="1:5" ht="18.75">
      <c r="A1" s="19" t="s">
        <v>58</v>
      </c>
      <c r="B1" s="20"/>
      <c r="C1" s="20"/>
      <c r="D1" s="20"/>
      <c r="E1" s="21"/>
    </row>
    <row r="2" spans="1:5">
      <c r="A2" s="2"/>
      <c r="B2" s="2"/>
      <c r="C2" s="2">
        <f>SUM(C4:C16)</f>
        <v>580580</v>
      </c>
      <c r="D2" s="2">
        <f>SUM(D4:D16)</f>
        <v>580580</v>
      </c>
      <c r="E2" s="2">
        <f>ABS(C2-D2)</f>
        <v>0</v>
      </c>
    </row>
    <row r="3" spans="1:5" ht="31.5">
      <c r="A3" s="4" t="s">
        <v>0</v>
      </c>
      <c r="B3" s="4" t="s">
        <v>1</v>
      </c>
      <c r="C3" s="4" t="s">
        <v>10</v>
      </c>
      <c r="D3" s="4" t="s">
        <v>2</v>
      </c>
      <c r="E3" s="4" t="s">
        <v>6</v>
      </c>
    </row>
    <row r="4" spans="1:5" ht="15.75">
      <c r="A4" s="11"/>
      <c r="B4" s="16" t="s">
        <v>22</v>
      </c>
      <c r="C4" s="26">
        <f>'WEEK 20-7-25 TO 26-7-25'!E18</f>
        <v>580580</v>
      </c>
      <c r="D4" s="11">
        <v>0</v>
      </c>
      <c r="E4" s="5">
        <f>C4-D4</f>
        <v>580580</v>
      </c>
    </row>
    <row r="5" spans="1:5">
      <c r="A5" s="27" t="s">
        <v>56</v>
      </c>
      <c r="B5" s="28" t="s">
        <v>34</v>
      </c>
      <c r="C5" s="29">
        <v>0</v>
      </c>
      <c r="D5" s="29">
        <v>100000</v>
      </c>
      <c r="E5" s="5">
        <f>IF(AND(C5="",D5=""),"",ABS(E4+C5-D5))</f>
        <v>480580</v>
      </c>
    </row>
    <row r="6" spans="1:5" ht="30">
      <c r="A6" s="27" t="s">
        <v>56</v>
      </c>
      <c r="B6" s="28" t="s">
        <v>57</v>
      </c>
      <c r="C6" s="1">
        <v>0</v>
      </c>
      <c r="D6" s="1">
        <v>16100</v>
      </c>
      <c r="E6" s="5">
        <f t="shared" ref="E6:E12" si="0">IF(AND(C6="",D6=""),"",ABS(E5+C6-D6))</f>
        <v>464480</v>
      </c>
    </row>
    <row r="7" spans="1:5" ht="16.5" customHeight="1">
      <c r="A7" s="27" t="s">
        <v>56</v>
      </c>
      <c r="B7" s="28" t="s">
        <v>35</v>
      </c>
      <c r="C7" s="29">
        <v>0</v>
      </c>
      <c r="D7" s="29">
        <v>50400</v>
      </c>
      <c r="E7" s="5">
        <f t="shared" si="0"/>
        <v>414080</v>
      </c>
    </row>
    <row r="8" spans="1:5">
      <c r="A8" s="27" t="s">
        <v>56</v>
      </c>
      <c r="B8" s="28" t="s">
        <v>34</v>
      </c>
      <c r="C8" s="29">
        <v>0</v>
      </c>
      <c r="D8" s="29">
        <v>33500</v>
      </c>
      <c r="E8" s="5">
        <f t="shared" si="0"/>
        <v>380580</v>
      </c>
    </row>
    <row r="9" spans="1:5">
      <c r="A9" s="27" t="s">
        <v>59</v>
      </c>
      <c r="B9" s="28" t="s">
        <v>34</v>
      </c>
      <c r="C9" s="29">
        <v>0</v>
      </c>
      <c r="D9" s="29">
        <v>1130</v>
      </c>
      <c r="E9" s="5">
        <f t="shared" si="0"/>
        <v>379450</v>
      </c>
    </row>
    <row r="10" spans="1:5">
      <c r="A10" s="27" t="s">
        <v>60</v>
      </c>
      <c r="B10" s="28" t="s">
        <v>44</v>
      </c>
      <c r="C10" s="29">
        <v>0</v>
      </c>
      <c r="D10" s="29">
        <v>100000</v>
      </c>
      <c r="E10" s="5">
        <f t="shared" si="0"/>
        <v>279450</v>
      </c>
    </row>
    <row r="11" spans="1:5">
      <c r="A11" s="27" t="s">
        <v>60</v>
      </c>
      <c r="B11" s="28" t="s">
        <v>34</v>
      </c>
      <c r="C11" s="29">
        <v>0</v>
      </c>
      <c r="D11" s="29">
        <v>50000</v>
      </c>
      <c r="E11" s="5">
        <f t="shared" si="0"/>
        <v>229450</v>
      </c>
    </row>
    <row r="12" spans="1:5">
      <c r="A12" s="27" t="s">
        <v>61</v>
      </c>
      <c r="B12" s="28" t="s">
        <v>34</v>
      </c>
      <c r="C12" s="29">
        <v>0</v>
      </c>
      <c r="D12" s="29">
        <v>40000</v>
      </c>
      <c r="E12" s="5">
        <f>IF(AND(C12="",D12=""),"",ABS(E11+C12-D12))</f>
        <v>189450</v>
      </c>
    </row>
    <row r="13" spans="1:5">
      <c r="A13" s="27" t="s">
        <v>61</v>
      </c>
      <c r="B13" s="28" t="s">
        <v>34</v>
      </c>
      <c r="C13" s="29">
        <v>0</v>
      </c>
      <c r="D13" s="29">
        <v>50000</v>
      </c>
      <c r="E13" s="5">
        <f t="shared" ref="E13:E16" si="1">IF(AND(C13="",D13=""),"",ABS(E12+C13-D13))</f>
        <v>139450</v>
      </c>
    </row>
    <row r="14" spans="1:5">
      <c r="A14" s="6">
        <v>45665</v>
      </c>
      <c r="B14" s="28" t="s">
        <v>34</v>
      </c>
      <c r="C14" s="29">
        <v>0</v>
      </c>
      <c r="D14" s="29">
        <v>50000</v>
      </c>
      <c r="E14" s="5">
        <f t="shared" si="1"/>
        <v>89450</v>
      </c>
    </row>
    <row r="15" spans="1:5">
      <c r="A15" s="6">
        <v>45665</v>
      </c>
      <c r="B15" s="28" t="s">
        <v>34</v>
      </c>
      <c r="C15" s="29">
        <v>0</v>
      </c>
      <c r="D15" s="29">
        <v>25000</v>
      </c>
      <c r="E15" s="5">
        <f t="shared" si="1"/>
        <v>64450</v>
      </c>
    </row>
    <row r="16" spans="1:5">
      <c r="A16" s="6">
        <v>45696</v>
      </c>
      <c r="B16" s="28" t="s">
        <v>34</v>
      </c>
      <c r="C16" s="29">
        <v>0</v>
      </c>
      <c r="D16" s="29">
        <v>64450</v>
      </c>
      <c r="E16" s="5">
        <f t="shared" si="1"/>
        <v>0</v>
      </c>
    </row>
    <row r="17" spans="1:5">
      <c r="A17" s="6"/>
      <c r="B17" s="28"/>
      <c r="C17" s="29"/>
      <c r="D17" s="29"/>
      <c r="E17" s="5">
        <v>0</v>
      </c>
    </row>
    <row r="18" spans="1:5" ht="30">
      <c r="A18" s="1"/>
      <c r="B18" s="14" t="s">
        <v>62</v>
      </c>
      <c r="C18" s="7">
        <f>ROUND(4133.24*220,-1)</f>
        <v>909310</v>
      </c>
      <c r="D18" s="7">
        <v>0</v>
      </c>
      <c r="E18" s="5">
        <f>IF(AND(C18="",D18=""),"",ABS(E17+C18-D18))</f>
        <v>909310</v>
      </c>
    </row>
    <row r="19" spans="1:5" ht="45">
      <c r="A19" s="1"/>
      <c r="B19" s="14" t="s">
        <v>66</v>
      </c>
      <c r="C19" s="7">
        <f>ROUND(278.75*270,-1)</f>
        <v>75260</v>
      </c>
      <c r="D19" s="7">
        <v>0</v>
      </c>
      <c r="E19" s="5">
        <f t="shared" ref="E19:E25" si="2">IF(AND(C19="",D19=""),"",ABS(E18+C19-D19))</f>
        <v>984570</v>
      </c>
    </row>
    <row r="20" spans="1:5" ht="60">
      <c r="A20" s="1"/>
      <c r="B20" s="14" t="s">
        <v>67</v>
      </c>
      <c r="C20" s="7">
        <f>ROUND(30.53*270,-1)</f>
        <v>8240</v>
      </c>
      <c r="D20" s="7">
        <v>0</v>
      </c>
      <c r="E20" s="5">
        <f>IF(AND(C20="",D20=""),"",ABS(E19+C20-D20))</f>
        <v>992810</v>
      </c>
    </row>
    <row r="21" spans="1:5" ht="30">
      <c r="A21" s="1"/>
      <c r="B21" s="14" t="s">
        <v>63</v>
      </c>
      <c r="C21" s="7">
        <f>ROUND(149.88*15,-1)</f>
        <v>2250</v>
      </c>
      <c r="D21" s="7">
        <v>0</v>
      </c>
      <c r="E21" s="5">
        <f t="shared" si="2"/>
        <v>995060</v>
      </c>
    </row>
    <row r="22" spans="1:5" ht="30">
      <c r="A22" s="1"/>
      <c r="B22" s="14" t="s">
        <v>64</v>
      </c>
      <c r="C22" s="8">
        <f>ROUND(149.88*175,-1)</f>
        <v>26230</v>
      </c>
      <c r="D22" s="7">
        <v>0</v>
      </c>
      <c r="E22" s="5">
        <f t="shared" si="2"/>
        <v>1021290</v>
      </c>
    </row>
    <row r="23" spans="1:5" ht="30">
      <c r="A23" s="1"/>
      <c r="B23" s="14" t="s">
        <v>65</v>
      </c>
      <c r="C23" s="7">
        <v>0</v>
      </c>
      <c r="D23" s="7">
        <f>ROUND(493.6*15,-1)</f>
        <v>7400</v>
      </c>
      <c r="E23" s="5">
        <f t="shared" si="2"/>
        <v>1013890</v>
      </c>
    </row>
    <row r="24" spans="1:5">
      <c r="A24" s="1"/>
      <c r="B24" s="14" t="s">
        <v>68</v>
      </c>
      <c r="C24" s="7">
        <f>ROUND(30.53*220,-1)</f>
        <v>6720</v>
      </c>
      <c r="D24" s="7">
        <v>0</v>
      </c>
      <c r="E24" s="5">
        <f t="shared" si="2"/>
        <v>1020610</v>
      </c>
    </row>
    <row r="25" spans="1:5">
      <c r="A25" s="6">
        <v>45695</v>
      </c>
      <c r="B25" s="14" t="s">
        <v>51</v>
      </c>
      <c r="C25" s="1">
        <v>0</v>
      </c>
      <c r="D25" s="1">
        <v>185460</v>
      </c>
      <c r="E25" s="5">
        <f t="shared" si="2"/>
        <v>835150</v>
      </c>
    </row>
    <row r="26" spans="1:5">
      <c r="A26" s="1"/>
      <c r="B26" s="14"/>
      <c r="C26" s="1"/>
      <c r="D26" s="1"/>
      <c r="E26" s="1"/>
    </row>
    <row r="27" spans="1:5">
      <c r="A27" s="1"/>
      <c r="B27" s="14"/>
      <c r="C27" s="1"/>
      <c r="D27" s="1"/>
      <c r="E27" s="1"/>
    </row>
    <row r="28" spans="1:5">
      <c r="A28" s="1"/>
      <c r="B28" s="14"/>
      <c r="C28" s="1"/>
      <c r="D28" s="1"/>
      <c r="E28" s="1"/>
    </row>
    <row r="29" spans="1:5">
      <c r="A29" s="1"/>
      <c r="B29" s="14"/>
      <c r="C29" s="1"/>
      <c r="D29" s="1"/>
      <c r="E29" s="1"/>
    </row>
    <row r="30" spans="1:5">
      <c r="A30" s="1"/>
      <c r="B30" s="14"/>
      <c r="C30" s="1"/>
      <c r="D30" s="1"/>
      <c r="E30" s="1"/>
    </row>
    <row r="31" spans="1:5">
      <c r="A31" s="1"/>
      <c r="B31" s="14"/>
      <c r="C31" s="1"/>
      <c r="D31" s="1"/>
      <c r="E31" s="1"/>
    </row>
    <row r="32" spans="1:5">
      <c r="A32" s="1"/>
      <c r="B32" s="14"/>
      <c r="C32" s="1"/>
      <c r="D32" s="1"/>
      <c r="E32" s="1"/>
    </row>
  </sheetData>
  <mergeCells count="1">
    <mergeCell ref="A1:E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30-6-25 TO 5-7-25</vt:lpstr>
      <vt:lpstr>WEEK 6-7-25 TO 12-7-25</vt:lpstr>
      <vt:lpstr>WEEK 13-7-25 TO 19-7-25</vt:lpstr>
      <vt:lpstr>WEEK 20-7-25 TO 26-7-25</vt:lpstr>
      <vt:lpstr>WEEK 27-7-25 TO 2-8-25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2025-10-04T05:03:21Z</cp:lastPrinted>
  <dcterms:created xsi:type="dcterms:W3CDTF">2025-10-04T02:08:41Z</dcterms:created>
  <dcterms:modified xsi:type="dcterms:W3CDTF">2025-10-24T11:30:21Z</dcterms:modified>
</cp:coreProperties>
</file>